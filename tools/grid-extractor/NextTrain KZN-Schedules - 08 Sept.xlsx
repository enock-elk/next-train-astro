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VENT-to-A_Weekday" sheetId="1" r:id="rId5"/>
    <sheet state="hidden" name="EVENT-to-B_Weekday" sheetId="2" r:id="rId6"/>
    <sheet state="hidden" name="EVENT-to-A_Sat" sheetId="3" r:id="rId7"/>
    <sheet state="hidden" name="EVENT-to-B_Sat" sheetId="4" r:id="rId8"/>
    <sheet state="hidden" name="ABC-to-ABC_Weekday" sheetId="5" r:id="rId9"/>
    <sheet state="hidden" name="Archive_2025" sheetId="6" r:id="rId10"/>
    <sheet state="visible" name="Config_GridOrder" sheetId="7" r:id="rId11"/>
    <sheet state="visible" name="DURBN-to-UMLAZ_Weekday" sheetId="8" r:id="rId12"/>
    <sheet state="visible" name="UMLAZ-to-DURBN_Weekday" sheetId="9" r:id="rId13"/>
    <sheet state="visible" name="DURBN-to-UMLAZ_Sat" sheetId="10" r:id="rId14"/>
    <sheet state="visible" name="UMLAZ-to-DURBN_Sat" sheetId="11" r:id="rId15"/>
    <sheet state="visible" name="DURBN-to-BRIDG_Weekday" sheetId="12" r:id="rId16"/>
    <sheet state="visible" name="BRIDG-to-DURBN_Weekday" sheetId="13" r:id="rId17"/>
    <sheet state="visible" name="DURBN-to-BRIDG_Sat" sheetId="14" r:id="rId18"/>
    <sheet state="visible" name="BRIDG-to-DURBN_Sat" sheetId="15" r:id="rId19"/>
    <sheet state="visible" name="DURBN-to-WINKL_Weekday" sheetId="16" r:id="rId20"/>
    <sheet state="visible" name="WINKL-to-DURBN_Weekday" sheetId="17" r:id="rId21"/>
    <sheet state="visible" name="DURBN-to-WINKL_Sat" sheetId="18" r:id="rId22"/>
    <sheet state="visible" name="WINKL-to-DURBN_Sat" sheetId="19" r:id="rId23"/>
    <sheet state="visible" name="DURBN-to-CATOR_Weekday" sheetId="20" r:id="rId24"/>
    <sheet state="visible" name="CATOR-to-DURBN_Weekday" sheetId="21" r:id="rId25"/>
    <sheet state="visible" name="DURBN-to-CATOR_Sat" sheetId="22" r:id="rId26"/>
    <sheet state="visible" name="CATOR-to-DURBN_Sat" sheetId="23" r:id="rId27"/>
    <sheet state="visible" name="DURBN-to-PINET_Weekday" sheetId="24" r:id="rId28"/>
    <sheet state="visible" name="PINET-to-DURBN_Weekday" sheetId="25" r:id="rId29"/>
    <sheet state="visible" name="DURBN-to-PINET_Sat" sheetId="26" r:id="rId30"/>
    <sheet state="visible" name="PINET-to-DURBN_Sat" sheetId="27" r:id="rId31"/>
    <sheet state="visible" name="DURBN-to-CROSS_Weekday" sheetId="28" r:id="rId32"/>
    <sheet state="visible" name="CROSS-to-DURBN_Weekday" sheetId="29" r:id="rId33"/>
    <sheet state="visible" name="DURBN-to-CROSS_Sat" sheetId="30" r:id="rId34"/>
    <sheet state="visible" name="CROSS-to-DURBN_Sat" sheetId="31" r:id="rId35"/>
  </sheets>
  <definedNames/>
  <calcPr/>
</workbook>
</file>

<file path=xl/sharedStrings.xml><?xml version="1.0" encoding="utf-8"?>
<sst xmlns="http://schemas.openxmlformats.org/spreadsheetml/2006/main" count="1165" uniqueCount="257">
  <si>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</si>
  <si>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</si>
  <si>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</si>
  <si>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</si>
  <si>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</si>
  <si>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</si>
  <si>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</si>
  <si>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</si>
  <si>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</si>
  <si>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</si>
  <si>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</si>
  <si>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</si>
  <si>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</si>
  <si>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</si>
  <si>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</si>
  <si>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</si>
  <si>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</si>
  <si>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</si>
  <si>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</si>
  <si>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</si>
  <si>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</si>
  <si>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</si>
  <si>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</si>
  <si>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</si>
  <si>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</si>
  <si>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</si>
  <si>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</si>
  <si>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Key,SheetName,RowNumber,StartCol</t>
  </si>
  <si>
    <t>durbn-to-umlaz_weekday,DURBN-to-UMLAZ_Weekday,2,C</t>
  </si>
  <si>
    <t>umlaz-to-durbn_weekday,UMLAZ-to-DURBN_Weekday,2,C</t>
  </si>
  <si>
    <t>durbn-to-umlaz_sat,DURBN-to-UMLAZ_Sat,2,C</t>
  </si>
  <si>
    <t>Z2</t>
  </si>
  <si>
    <t>umlaz-to-durbn_sat,UMLAZ-to-DURBN_Sat,2,C</t>
  </si>
  <si>
    <t>durbn-to-bridg_weekday,DURBN-to-BRIDG_Weekday,2,C</t>
  </si>
  <si>
    <t>bridg-to-durbn_weekday,BRIDG-to-DURBN_Weekday,2,C</t>
  </si>
  <si>
    <t>durbn-to-bridg_sat,DURBN-to-BRIDG_Sat,2,C</t>
  </si>
  <si>
    <t>bridg-to-durbn_sat,BRIDG-to-DURBN_Sat,2,C</t>
  </si>
  <si>
    <t>durbn-to-winkl_weekday,DURBN-to-WINKL_Weekday,2,C</t>
  </si>
  <si>
    <t>winkl-to-durbn_weekday,WINKL-to-DURBN_Weekday,2,C</t>
  </si>
  <si>
    <t>durbn-to-winkl_sat,DURBN-to-WINKL_Sat,2,C</t>
  </si>
  <si>
    <t>winkl-to-durbn_sat,WINKL-to-DURBN_Sat,2,C</t>
  </si>
  <si>
    <t>durbn-to-cator_weekday,DURBN-to-CATOR_Weekday,2,C</t>
  </si>
  <si>
    <t>cator-to-durbn_weekday,CATOR-to-DURBN_Weekday,2,C</t>
  </si>
  <si>
    <t>durbn-to-cator_sat,DURBN-to-CATOR_Sat,2,C</t>
  </si>
  <si>
    <t>cator-to-durbn_sat,CATOR-to-DURBN_Sat,2,C</t>
  </si>
  <si>
    <t>durbn-to-pinet_weekday,DURBN-to-PINET_Weekday,2,C</t>
  </si>
  <si>
    <t>pinet-to-durbn_weekday,PINET-to-DURBN_Weekday,2,C</t>
  </si>
  <si>
    <t>durbn-to-pinet_sat,DURBN-to-PINET_Sat,2,C</t>
  </si>
  <si>
    <t>pinet-to-durbn_sat,PINET-to-DURBN_Sat,2,C</t>
  </si>
  <si>
    <t>durbn-to-cross_weekday,DURBN-to-CROSS_Weekday,2,C</t>
  </si>
  <si>
    <t>cross-to-durbn_weekday,CROSS-to-DURBN_Weekday,2,C</t>
  </si>
  <si>
    <t>durbn-to-cross_sat,DURBN-to-CROSS_Sat,2,C</t>
  </si>
  <si>
    <t>cross-to-durbn_sat,CROSS-to-DURBN_Sat,2,C</t>
  </si>
  <si>
    <t>event_to_a_weekday,EVENT-to-A_Weekday,2,C</t>
  </si>
  <si>
    <t>event_to_b_weekday,EVENT-to-B_Weekday,2,C</t>
  </si>
  <si>
    <t>DURBAN YARD</t>
  </si>
  <si>
    <t>-29.834333, 31.026139</t>
  </si>
  <si>
    <t>event_to_a_sat,EVENT-to-A_Sat,2,C</t>
  </si>
  <si>
    <t>event_to_b_sat,EVENT-to-B_Sat,2,C</t>
  </si>
  <si>
    <t>DURBAN</t>
  </si>
  <si>
    <t>-29.84489056762199, 31.022357088460843</t>
  </si>
  <si>
    <t>BEREA ROAD</t>
  </si>
  <si>
    <t>-29.85714656237288, 31.012251554171158</t>
  </si>
  <si>
    <t>DALBRIDGE</t>
  </si>
  <si>
    <t>-29.86800762596781, 31.00631745346827</t>
  </si>
  <si>
    <t>CONGELLA</t>
  </si>
  <si>
    <t>-29.877804214443714, 30.996696619770805</t>
  </si>
  <si>
    <t>UMBILO</t>
  </si>
  <si>
    <t>-29.890408568248482, 30.984596995797897</t>
  </si>
  <si>
    <t>ROSSBURGH</t>
  </si>
  <si>
    <t>-29.89943479406536, 30.98049926990544</t>
  </si>
  <si>
    <t>UMLAZI</t>
  </si>
  <si>
    <t>-29.953969074951846, 30.866029768629286</t>
  </si>
  <si>
    <t>LINDOKUHLE</t>
  </si>
  <si>
    <t>-29.95934086046813, 30.88875892463683</t>
  </si>
  <si>
    <t>CLAIRWOOD</t>
  </si>
  <si>
    <t>-29.91586685921378, 30.976185952436662</t>
  </si>
  <si>
    <t>kwaMNYANDU</t>
  </si>
  <si>
    <t>-29.972439080929043, 30.90418256696626</t>
  </si>
  <si>
    <t>ZWELETHU</t>
  </si>
  <si>
    <t>MONTCLAIR</t>
  </si>
  <si>
    <t>-29.963504795525992, 30.91693283813006</t>
  </si>
  <si>
    <t>-29.911973683567116, 30.97489973301122</t>
  </si>
  <si>
    <t>REUNION</t>
  </si>
  <si>
    <t>-29.963225890304287, 30.941094166965776</t>
  </si>
  <si>
    <t>MEREBANK</t>
  </si>
  <si>
    <t>-29.943867324872905, 30.958701026485713</t>
  </si>
  <si>
    <t>MOSES MABHIDA</t>
  </si>
  <si>
    <t>-29.828174437586064, 31.03164291113771</t>
  </si>
  <si>
    <t>BRIDGE CITY</t>
  </si>
  <si>
    <t>-29.726914572007956, 30.986441559931276</t>
  </si>
  <si>
    <t>UMGENI</t>
  </si>
  <si>
    <t>-29.81680605847883, 31.02742038505348</t>
  </si>
  <si>
    <t>kwaMASHU</t>
  </si>
  <si>
    <t>-29.750076129548816, 30.9736385977492</t>
  </si>
  <si>
    <t>BRIARDENE</t>
  </si>
  <si>
    <t>-29.796700991231464, 31.01418868183359</t>
  </si>
  <si>
    <t>TEMBALIHLE</t>
  </si>
  <si>
    <t>-29.74232619650293, 30.99327039689171</t>
  </si>
  <si>
    <t>GREENWOOD PARK</t>
  </si>
  <si>
    <t>-29.78886303102557, 31.019987033178655</t>
  </si>
  <si>
    <t>RED HILL</t>
  </si>
  <si>
    <t>DUFF'S ROAD</t>
  </si>
  <si>
    <t>-29.77881199269451, 31.02278786426192</t>
  </si>
  <si>
    <t>-29.743381167737063, 31.00438746386499</t>
  </si>
  <si>
    <t>AVOCA</t>
  </si>
  <si>
    <t>-29.760772221994845, 31.021557341565032</t>
  </si>
  <si>
    <t>TEMPLE</t>
  </si>
  <si>
    <t>EFFINGHAM</t>
  </si>
  <si>
    <t>-29.803794322749017, 31.00594296514886</t>
  </si>
  <si>
    <t>-29.771484689837905, 31.002467628997902</t>
  </si>
  <si>
    <t>KENVILLE</t>
  </si>
  <si>
    <t>-29.79223460755487, 31.00131508045099</t>
  </si>
  <si>
    <t>0708</t>
  </si>
  <si>
    <t>0712</t>
  </si>
  <si>
    <t>0716</t>
  </si>
  <si>
    <t>0720</t>
  </si>
  <si>
    <t>0724</t>
  </si>
  <si>
    <t>0728</t>
  </si>
  <si>
    <t>0732</t>
  </si>
  <si>
    <t>0738</t>
  </si>
  <si>
    <t>0744</t>
  </si>
  <si>
    <t>0750</t>
  </si>
  <si>
    <t>0756</t>
  </si>
  <si>
    <t>0762</t>
  </si>
  <si>
    <t>0768</t>
  </si>
  <si>
    <t>0774</t>
  </si>
  <si>
    <t>0778</t>
  </si>
  <si>
    <t>0782</t>
  </si>
  <si>
    <t>0786</t>
  </si>
  <si>
    <t>0790</t>
  </si>
  <si>
    <t>-29.868104078587393, 31.006295566319082</t>
  </si>
  <si>
    <t>-29.877807391239134, 30.99668920640153</t>
  </si>
  <si>
    <t>-29.890435697363827, 30.984587874943184</t>
  </si>
  <si>
    <t>0711</t>
  </si>
  <si>
    <t>0715</t>
  </si>
  <si>
    <t>0719</t>
  </si>
  <si>
    <t>0723</t>
  </si>
  <si>
    <t>0727</t>
  </si>
  <si>
    <t>-29.89940554926183, 30.980532514388575</t>
  </si>
  <si>
    <t>0731</t>
  </si>
  <si>
    <t>0735</t>
  </si>
  <si>
    <t>0739</t>
  </si>
  <si>
    <t>0743</t>
  </si>
  <si>
    <t>0749</t>
  </si>
  <si>
    <t>0755</t>
  </si>
  <si>
    <t>0761</t>
  </si>
  <si>
    <t>0767</t>
  </si>
  <si>
    <t>0773</t>
  </si>
  <si>
    <t>0779</t>
  </si>
  <si>
    <t>0783</t>
  </si>
  <si>
    <t>0787</t>
  </si>
  <si>
    <t>0791</t>
  </si>
  <si>
    <t>WINKLESPRUIT</t>
  </si>
  <si>
    <t>-30.098583556349997, 30.856762947317485</t>
  </si>
  <si>
    <t>-29.925547602718428, 30.973277527535956</t>
  </si>
  <si>
    <t>-29.94387679464219, 30.95869476076833</t>
  </si>
  <si>
    <t>WARNER BEACH</t>
  </si>
  <si>
    <t>-30.083787588048057, 30.867315491610743</t>
  </si>
  <si>
    <t>-29.963257040786896, 30.941103712255764</t>
  </si>
  <si>
    <t>DOONSIDE</t>
  </si>
  <si>
    <t>PELGRIM</t>
  </si>
  <si>
    <t>-30.07130309503173, 30.873493721739905</t>
  </si>
  <si>
    <t>-29.974124952216233, 30.933854361876627</t>
  </si>
  <si>
    <t>ISIPINGO</t>
  </si>
  <si>
    <t>-29.98408153761452, 30.92863140522783</t>
  </si>
  <si>
    <t>AMANZIMTOTI</t>
  </si>
  <si>
    <t>-30.056679072471063, 30.881613697740487</t>
  </si>
  <si>
    <t>UMBOGINTWINI</t>
  </si>
  <si>
    <t>-30.02251418559166, 30.907357309297154</t>
  </si>
  <si>
    <t>PAHLA</t>
  </si>
  <si>
    <t>-30.041351162488457, 30.889134409298176</t>
  </si>
  <si>
    <t>Z3</t>
  </si>
  <si>
    <t>MOUNT VERNON</t>
  </si>
  <si>
    <t>-29.90097717569073, 30.933294338127315</t>
  </si>
  <si>
    <t>CAVENDISH</t>
  </si>
  <si>
    <t>-29.896439659949984, 30.913067412635566</t>
  </si>
  <si>
    <t>BURLINGTON</t>
  </si>
  <si>
    <t>-29.89028076650463, 30.89915509579805</t>
  </si>
  <si>
    <t>SHALLCROSS</t>
  </si>
  <si>
    <t>-29.890318817546603, 30.899151743277756</t>
  </si>
  <si>
    <t>KLAARWATER</t>
  </si>
  <si>
    <t>-29.862151228096323, 30.859345100046635</t>
  </si>
  <si>
    <t>MARIANNHILL</t>
  </si>
  <si>
    <t>-29.862478536680083, 30.80871634586387</t>
  </si>
  <si>
    <t>THORNWOOD</t>
  </si>
  <si>
    <t>-29.856675554962475, 30.79083865019938</t>
  </si>
  <si>
    <t>SITUNDU HILLS</t>
  </si>
  <si>
    <t>-29.85444871193749, 30.790564797164464</t>
  </si>
  <si>
    <t>DASSENHOEK</t>
  </si>
  <si>
    <t>CATO RIDGE</t>
  </si>
  <si>
    <t>-29.83856429722454, 30.775784542763343</t>
  </si>
  <si>
    <t>-29.731996197232608, 30.587660718216068</t>
  </si>
  <si>
    <t>kwaNDENGEZI</t>
  </si>
  <si>
    <t>-29.834233241052026, 30.736058462847698</t>
  </si>
  <si>
    <t>DELVILLE WOOD</t>
  </si>
  <si>
    <t>-29.839382662654916, 30.712141513562827</t>
  </si>
  <si>
    <t>GEORGEDALE</t>
  </si>
  <si>
    <t>-29.78036339945987, 30.6125469101618</t>
  </si>
  <si>
    <t>NSHONGWENI</t>
  </si>
  <si>
    <t>-29.834422367210244, 30.70278188110899</t>
  </si>
  <si>
    <t>CLIFFDALE</t>
  </si>
  <si>
    <t>-29.79143109593067, 30.68111584434682</t>
  </si>
  <si>
    <t>HAMMARSDALE</t>
  </si>
  <si>
    <t>-29.801105065029617, 30.657429166958266</t>
  </si>
  <si>
    <t>kwaTANDAZA</t>
  </si>
  <si>
    <t>-29.795700448484443, 30.621560562168032</t>
  </si>
  <si>
    <t>0024</t>
  </si>
  <si>
    <t>0036</t>
  </si>
  <si>
    <t>0052</t>
  </si>
  <si>
    <t>0064</t>
  </si>
  <si>
    <t>0080</t>
  </si>
  <si>
    <t>0090</t>
  </si>
  <si>
    <t>SEA VIEW</t>
  </si>
  <si>
    <t>-29.90206537438824, 30.961951053469775</t>
  </si>
  <si>
    <t>BELLAIR</t>
  </si>
  <si>
    <t>-29.889679452321058, 30.953948975489023</t>
  </si>
  <si>
    <t>0023</t>
  </si>
  <si>
    <t>0035</t>
  </si>
  <si>
    <t>0047</t>
  </si>
  <si>
    <t>HILLARY</t>
  </si>
  <si>
    <t>0063</t>
  </si>
  <si>
    <t>-29.888843101102967, 30.941618988037487</t>
  </si>
  <si>
    <t>0079</t>
  </si>
  <si>
    <t>0091</t>
  </si>
  <si>
    <t>POET'S CORNER</t>
  </si>
  <si>
    <t>PINETOWN</t>
  </si>
  <si>
    <t>-29.879624086393253, 30.931881441862963</t>
  </si>
  <si>
    <t>-29.817914958141525, 30.857940395794724</t>
  </si>
  <si>
    <t>MALVERN</t>
  </si>
  <si>
    <t>-29.87955537770049, 30.919593595797505</t>
  </si>
  <si>
    <t>ESCOMBE</t>
  </si>
  <si>
    <t>-29.873108368400352, 30.90087172463291</t>
  </si>
  <si>
    <t>SARNIA</t>
  </si>
  <si>
    <t>-29.830424967744435, 30.87669432278148</t>
  </si>
  <si>
    <t>NORTHDENE</t>
  </si>
  <si>
    <t>-29.863632483380737, 30.88589969579682</t>
  </si>
  <si>
    <t>GLEN PARK</t>
  </si>
  <si>
    <t>-29.84285168726519, 30.879913024631495</t>
  </si>
  <si>
    <t>MOSELEY</t>
  </si>
  <si>
    <t>-29.85089347501403, 30.883451224631976</t>
  </si>
  <si>
    <t>CROSSMOOR</t>
  </si>
  <si>
    <t>-29.898514072933363, 30.861925638560148</t>
  </si>
  <si>
    <t>CHATSGLEN</t>
  </si>
  <si>
    <t>-29.90702562701478, 30.88513415841232</t>
  </si>
  <si>
    <t>WESTS</t>
  </si>
  <si>
    <t>WESTCLIFF</t>
  </si>
  <si>
    <t>-29.90911584089301, 30.902484294984493</t>
  </si>
  <si>
    <t>ISLAND VIEW</t>
  </si>
  <si>
    <t>FYNNLAND</t>
  </si>
  <si>
    <t>KING'S REST</t>
  </si>
  <si>
    <t>BAYVIEW</t>
  </si>
  <si>
    <t>-29.915492485588356, 30.918491645667224</t>
  </si>
  <si>
    <t>WENTWORTH</t>
  </si>
  <si>
    <t>JACOBS</t>
  </si>
  <si>
    <t>HAVENSIDE</t>
  </si>
  <si>
    <t>-29.926302426956735, 30.937562200751156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</si>
</sst>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/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  <font>
      <b/>
      <i/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21" xfId="0" applyAlignment="1" applyFill="1" applyFont="1" applyNumberFormat="1">
      <alignment readingOrder="0"/>
    </xf>
    <xf borderId="0" fillId="4" fontId="2" numFmtId="0" xfId="0" applyFill="1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7" fontId="1" numFmtId="0" xfId="0" applyAlignment="1" applyFill="1" applyFont="1">
      <alignment readingOrder="0"/>
    </xf>
    <xf borderId="0" fillId="0" fontId="2" numFmtId="0" xfId="0" applyFont="1"/>
    <xf borderId="0" fillId="0" fontId="4" numFmtId="0" xfId="0" applyFont="1"/>
    <xf borderId="0" fillId="7" fontId="1" numFmtId="0" xfId="0" applyFill="1" applyFont="1"/>
    <xf borderId="0" fillId="2" fontId="2" numFmtId="21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Font="1"/>
    <xf borderId="0" fillId="2" fontId="2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2" numFmtId="20" xfId="0" applyFont="1" applyNumberFormat="1"/>
    <xf borderId="0" fillId="0" fontId="3" numFmtId="0" xfId="0" applyFont="1"/>
    <xf borderId="0" fillId="0" fontId="3" numFmtId="21" xfId="0" applyFont="1" applyNumberFormat="1"/>
    <xf borderId="0" fillId="0" fontId="3" numFmtId="20" xfId="0" applyFont="1" applyNumberFormat="1"/>
    <xf borderId="0" fillId="5" fontId="1" numFmtId="21" xfId="0" applyAlignment="1" applyFill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4" fontId="2" numFmtId="0" xfId="0" applyFill="1" applyFont="1"/>
    <xf borderId="0" fillId="8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9" fontId="2" numFmtId="21" xfId="0" applyAlignment="1" applyFill="1" applyFont="1" applyNumberFormat="1">
      <alignment readingOrder="0"/>
    </xf>
    <xf borderId="0" fillId="4" fontId="2" numFmtId="20" xfId="0" applyAlignment="1" applyFill="1" applyFont="1" applyNumberFormat="1">
      <alignment readingOrder="0"/>
    </xf>
    <xf borderId="0" fillId="4" fontId="2" numFmtId="20" xfId="0" applyAlignment="1" applyFill="1" applyFont="1" applyNumberFormat="1">
      <alignment readingOrder="0"/>
    </xf>
    <xf borderId="0" fillId="4" fontId="2" numFmtId="21" xfId="0" applyAlignment="1" applyFill="1" applyFont="1" applyNumberFormat="1">
      <alignment readingOrder="0"/>
    </xf>
    <xf borderId="0" fillId="0" fontId="1" numFmtId="20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0" fillId="0" fontId="1" numFmtId="21" xfId="0" applyFont="1" applyNumberFormat="1"/>
    <xf borderId="3" fillId="0" fontId="1" numFmtId="0" xfId="0" applyAlignment="1" applyBorder="1" applyFont="1">
      <alignment readingOrder="0"/>
    </xf>
    <xf borderId="0" fillId="0" fontId="4" numFmtId="20" xfId="0" applyAlignment="1" applyFont="1" applyNumberFormat="1">
      <alignment readingOrder="0"/>
    </xf>
    <xf borderId="0" fillId="0" fontId="4" numFmtId="0" xfId="0" applyFont="1"/>
    <xf borderId="1" fillId="0" fontId="3" numFmtId="20" xfId="0" applyBorder="1" applyFont="1" applyNumberForma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4400.0</v>
      </c>
      <c r="D2" s="21">
        <v>4402.0</v>
      </c>
      <c r="E2" s="21">
        <v>4420.0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27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27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  <col customWidth="1" min="3" max="3" width="27.25"/>
    <col customWidth="1" min="4" max="4" width="24.75"/>
  </cols>
  <sheetData>
    <row r="1">
      <c r="A1" s="23" t="s">
        <v>27</v>
      </c>
    </row>
    <row r="2">
      <c r="A2" s="23" t="s">
        <v>28</v>
      </c>
    </row>
    <row r="3">
      <c r="A3" s="23" t="s">
        <v>29</v>
      </c>
    </row>
    <row r="4">
      <c r="A4" s="23" t="s">
        <v>30</v>
      </c>
    </row>
    <row r="5">
      <c r="A5" s="23" t="s">
        <v>32</v>
      </c>
    </row>
    <row r="6">
      <c r="A6" s="23" t="s">
        <v>33</v>
      </c>
    </row>
    <row r="7">
      <c r="A7" s="23" t="s">
        <v>34</v>
      </c>
    </row>
    <row r="8">
      <c r="A8" s="23" t="s">
        <v>35</v>
      </c>
    </row>
    <row r="9">
      <c r="A9" s="23" t="s">
        <v>36</v>
      </c>
    </row>
    <row r="10">
      <c r="A10" s="23" t="s">
        <v>37</v>
      </c>
    </row>
    <row r="11">
      <c r="A11" s="23" t="s">
        <v>38</v>
      </c>
    </row>
    <row r="12">
      <c r="A12" s="23" t="s">
        <v>39</v>
      </c>
    </row>
    <row r="13">
      <c r="A13" s="23" t="s">
        <v>40</v>
      </c>
    </row>
    <row r="14">
      <c r="A14" s="23" t="s">
        <v>41</v>
      </c>
    </row>
    <row r="15">
      <c r="A15" s="23" t="s">
        <v>42</v>
      </c>
    </row>
    <row r="16">
      <c r="A16" s="23" t="s">
        <v>43</v>
      </c>
    </row>
    <row r="17">
      <c r="A17" s="23" t="s">
        <v>44</v>
      </c>
    </row>
    <row r="18">
      <c r="A18" s="23" t="s">
        <v>45</v>
      </c>
    </row>
    <row r="19">
      <c r="A19" s="23" t="s">
        <v>46</v>
      </c>
    </row>
    <row r="20">
      <c r="A20" s="23" t="s">
        <v>47</v>
      </c>
    </row>
    <row r="21">
      <c r="A21" s="23" t="s">
        <v>48</v>
      </c>
    </row>
    <row r="22">
      <c r="A22" s="26" t="s">
        <v>49</v>
      </c>
    </row>
    <row r="23">
      <c r="A23" s="26" t="s">
        <v>50</v>
      </c>
    </row>
    <row r="24">
      <c r="A24" s="26" t="s">
        <v>51</v>
      </c>
    </row>
    <row r="25">
      <c r="A25" s="26" t="s">
        <v>52</v>
      </c>
    </row>
    <row r="26">
      <c r="A26" s="23" t="s">
        <v>53</v>
      </c>
    </row>
    <row r="27">
      <c r="A27" s="23" t="s">
        <v>54</v>
      </c>
    </row>
    <row r="28">
      <c r="A28" s="23" t="s">
        <v>57</v>
      </c>
    </row>
    <row r="29">
      <c r="A29" s="23" t="s">
        <v>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31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9110.0</v>
      </c>
      <c r="D2" s="25">
        <v>9130.0</v>
      </c>
      <c r="E2" s="25">
        <v>9140.0</v>
      </c>
      <c r="F2" s="25">
        <v>9150.0</v>
      </c>
      <c r="G2" s="25">
        <v>9160.0</v>
      </c>
      <c r="H2" s="25">
        <v>9170.0</v>
      </c>
      <c r="I2" s="25">
        <v>9180.0</v>
      </c>
      <c r="J2" s="25">
        <v>9190.0</v>
      </c>
      <c r="K2" s="25">
        <v>9210.0</v>
      </c>
      <c r="L2" s="25">
        <v>9220.0</v>
      </c>
      <c r="M2" s="25">
        <v>9230.0</v>
      </c>
      <c r="N2" s="25">
        <v>9240.0</v>
      </c>
      <c r="O2" s="25">
        <v>9244.0</v>
      </c>
      <c r="P2" s="25">
        <v>9250.0</v>
      </c>
      <c r="Q2" s="25">
        <v>9254.0</v>
      </c>
      <c r="R2" s="25">
        <v>9264.0</v>
      </c>
      <c r="S2" s="25">
        <v>9274.0</v>
      </c>
      <c r="T2" s="25"/>
      <c r="U2" s="28"/>
      <c r="V2" s="28"/>
      <c r="W2" s="28"/>
      <c r="X2" s="28"/>
      <c r="Y2" s="28"/>
      <c r="Z2" s="28"/>
      <c r="AA2" s="28"/>
    </row>
    <row r="3">
      <c r="A3" s="1" t="s">
        <v>55</v>
      </c>
      <c r="B3" s="11" t="s">
        <v>56</v>
      </c>
      <c r="C3" s="12"/>
      <c r="D3" s="12"/>
      <c r="E3" s="12"/>
      <c r="F3" s="12"/>
      <c r="G3" s="12"/>
      <c r="H3" s="12"/>
      <c r="I3" s="12">
        <v>0.4736111111111111</v>
      </c>
      <c r="J3" s="12"/>
      <c r="K3" s="12"/>
      <c r="L3" s="12">
        <v>0.5986111111111111</v>
      </c>
      <c r="M3" s="12">
        <v>0.6402777777777777</v>
      </c>
      <c r="N3" s="12"/>
      <c r="O3" s="12"/>
      <c r="P3" s="12">
        <v>0.7236111111111111</v>
      </c>
      <c r="Q3" s="29"/>
      <c r="R3" s="29"/>
      <c r="S3" s="29"/>
      <c r="T3" s="12"/>
    </row>
    <row r="4">
      <c r="A4" s="1" t="s">
        <v>59</v>
      </c>
      <c r="B4" s="11" t="s">
        <v>60</v>
      </c>
      <c r="C4" s="12">
        <v>0.20625</v>
      </c>
      <c r="D4" s="12">
        <v>0.2701388888888889</v>
      </c>
      <c r="E4" s="12">
        <v>0.31180555555555556</v>
      </c>
      <c r="F4" s="12">
        <v>0.35347222222222224</v>
      </c>
      <c r="G4" s="12">
        <v>0.3951388888888889</v>
      </c>
      <c r="H4" s="12">
        <v>0.43680555555555556</v>
      </c>
      <c r="I4" s="12">
        <v>0.47847222222222224</v>
      </c>
      <c r="J4" s="12">
        <v>0.5201388888888889</v>
      </c>
      <c r="K4" s="12">
        <v>0.5618055555555556</v>
      </c>
      <c r="L4" s="12">
        <v>0.6034722222222222</v>
      </c>
      <c r="M4" s="12">
        <v>0.6451388888888889</v>
      </c>
      <c r="N4" s="12">
        <v>0.6868055555555556</v>
      </c>
      <c r="O4" s="12">
        <v>0.7076388888888889</v>
      </c>
      <c r="P4" s="12">
        <v>0.7284722222222222</v>
      </c>
      <c r="Q4" s="29">
        <v>0.7493055555555556</v>
      </c>
      <c r="R4" s="29">
        <v>0.7909722222222222</v>
      </c>
      <c r="S4" s="29">
        <v>0.8326388888888889</v>
      </c>
      <c r="T4" s="12"/>
    </row>
    <row r="5">
      <c r="A5" s="1" t="s">
        <v>61</v>
      </c>
      <c r="B5" s="11" t="s">
        <v>62</v>
      </c>
      <c r="C5" s="12">
        <v>0.20833333333333334</v>
      </c>
      <c r="D5" s="12">
        <v>0.2722222222222222</v>
      </c>
      <c r="E5" s="12">
        <v>0.3138888888888889</v>
      </c>
      <c r="F5" s="12">
        <v>0.35555555555555557</v>
      </c>
      <c r="G5" s="12">
        <v>0.3972222222222222</v>
      </c>
      <c r="H5" s="12">
        <v>0.4388888888888889</v>
      </c>
      <c r="I5" s="12">
        <v>0.48055555555555557</v>
      </c>
      <c r="J5" s="12">
        <v>0.5222222222222223</v>
      </c>
      <c r="K5" s="12">
        <v>0.5638888888888889</v>
      </c>
      <c r="L5" s="12">
        <v>0.6055555555555555</v>
      </c>
      <c r="M5" s="12">
        <v>0.6472222222222223</v>
      </c>
      <c r="N5" s="12">
        <v>0.6888888888888889</v>
      </c>
      <c r="O5" s="12">
        <v>0.7097222222222223</v>
      </c>
      <c r="P5" s="12">
        <v>0.7305555555555555</v>
      </c>
      <c r="Q5" s="29">
        <f t="shared" ref="Q5:S5" si="1">Q4+P5-P4</f>
        <v>0.7513888889</v>
      </c>
      <c r="R5" s="29">
        <f t="shared" si="1"/>
        <v>0.7930555556</v>
      </c>
      <c r="S5" s="29">
        <f t="shared" si="1"/>
        <v>0.8347222222</v>
      </c>
      <c r="T5" s="12"/>
    </row>
    <row r="6">
      <c r="A6" s="1" t="s">
        <v>63</v>
      </c>
      <c r="B6" s="11" t="s">
        <v>64</v>
      </c>
      <c r="C6" s="12">
        <v>0.2125</v>
      </c>
      <c r="D6" s="12">
        <v>0.2763888888888889</v>
      </c>
      <c r="E6" s="12">
        <v>0.31805555555555554</v>
      </c>
      <c r="F6" s="12">
        <v>0.3597222222222222</v>
      </c>
      <c r="G6" s="12">
        <v>0.4013888888888889</v>
      </c>
      <c r="H6" s="12">
        <v>0.44305555555555554</v>
      </c>
      <c r="I6" s="12">
        <v>0.4847222222222222</v>
      </c>
      <c r="J6" s="12">
        <v>0.5263888888888889</v>
      </c>
      <c r="K6" s="12">
        <v>0.5680555555555555</v>
      </c>
      <c r="L6" s="12">
        <v>0.6097222222222223</v>
      </c>
      <c r="M6" s="12">
        <v>0.6513888888888889</v>
      </c>
      <c r="N6" s="12">
        <v>0.6930555555555555</v>
      </c>
      <c r="O6" s="12">
        <v>0.7138888888888889</v>
      </c>
      <c r="P6" s="12">
        <v>0.7347222222222223</v>
      </c>
      <c r="Q6" s="29">
        <f t="shared" ref="Q6:S6" si="2">Q5+P6-P5</f>
        <v>0.7555555556</v>
      </c>
      <c r="R6" s="29">
        <f t="shared" si="2"/>
        <v>0.7972222222</v>
      </c>
      <c r="S6" s="29">
        <f t="shared" si="2"/>
        <v>0.8388888889</v>
      </c>
      <c r="T6" s="12"/>
    </row>
    <row r="7">
      <c r="A7" s="1" t="s">
        <v>65</v>
      </c>
      <c r="B7" s="11" t="s">
        <v>66</v>
      </c>
      <c r="C7" s="12">
        <v>0.21597222222222223</v>
      </c>
      <c r="D7" s="12">
        <v>0.2798611111111111</v>
      </c>
      <c r="E7" s="12">
        <v>0.3215277777777778</v>
      </c>
      <c r="F7" s="12">
        <v>0.36319444444444443</v>
      </c>
      <c r="G7" s="12">
        <v>0.4048611111111111</v>
      </c>
      <c r="H7" s="12">
        <v>0.4465277777777778</v>
      </c>
      <c r="I7" s="12">
        <v>0.48819444444444443</v>
      </c>
      <c r="J7" s="12">
        <v>0.5298611111111111</v>
      </c>
      <c r="K7" s="12">
        <v>0.5715277777777777</v>
      </c>
      <c r="L7" s="12">
        <v>0.6131944444444445</v>
      </c>
      <c r="M7" s="12">
        <v>0.6548611111111111</v>
      </c>
      <c r="N7" s="12">
        <v>0.6965277777777777</v>
      </c>
      <c r="O7" s="12">
        <v>0.7173611111111111</v>
      </c>
      <c r="P7" s="12">
        <v>0.7381944444444445</v>
      </c>
      <c r="Q7" s="29">
        <f t="shared" ref="Q7:S7" si="3">Q6+P7-P6</f>
        <v>0.7590277778</v>
      </c>
      <c r="R7" s="29">
        <f t="shared" si="3"/>
        <v>0.8006944444</v>
      </c>
      <c r="S7" s="29">
        <f t="shared" si="3"/>
        <v>0.8423611111</v>
      </c>
      <c r="T7" s="12"/>
    </row>
    <row r="8">
      <c r="A8" s="1" t="s">
        <v>67</v>
      </c>
      <c r="B8" s="11" t="s">
        <v>68</v>
      </c>
      <c r="C8" s="12">
        <v>0.21875</v>
      </c>
      <c r="D8" s="12">
        <v>0.2826388888888889</v>
      </c>
      <c r="E8" s="12">
        <v>0.32430555555555557</v>
      </c>
      <c r="F8" s="12">
        <v>0.3659722222222222</v>
      </c>
      <c r="G8" s="12">
        <v>0.4076388888888889</v>
      </c>
      <c r="H8" s="12">
        <v>0.44930555555555557</v>
      </c>
      <c r="I8" s="12">
        <v>0.4909722222222222</v>
      </c>
      <c r="J8" s="12">
        <v>0.5326388888888889</v>
      </c>
      <c r="K8" s="12">
        <v>0.5743055555555555</v>
      </c>
      <c r="L8" s="12">
        <v>0.6159722222222223</v>
      </c>
      <c r="M8" s="12">
        <v>0.6576388888888889</v>
      </c>
      <c r="N8" s="12">
        <v>0.6993055555555555</v>
      </c>
      <c r="O8" s="12">
        <v>0.7201388888888889</v>
      </c>
      <c r="P8" s="12">
        <v>0.7409722222222223</v>
      </c>
      <c r="Q8" s="29">
        <f t="shared" ref="Q8:S8" si="4">Q7+P8-P7</f>
        <v>0.7618055556</v>
      </c>
      <c r="R8" s="29">
        <f t="shared" si="4"/>
        <v>0.8034722222</v>
      </c>
      <c r="S8" s="29">
        <f t="shared" si="4"/>
        <v>0.8451388889</v>
      </c>
      <c r="T8" s="12"/>
    </row>
    <row r="9">
      <c r="A9" s="1" t="s">
        <v>69</v>
      </c>
      <c r="B9" s="11" t="s">
        <v>70</v>
      </c>
      <c r="C9" s="12">
        <v>0.22430555555555556</v>
      </c>
      <c r="D9" s="12">
        <v>0.2881944444444444</v>
      </c>
      <c r="E9" s="12">
        <v>0.3298611111111111</v>
      </c>
      <c r="F9" s="12">
        <v>0.3715277777777778</v>
      </c>
      <c r="G9" s="12">
        <v>0.4131944444444444</v>
      </c>
      <c r="H9" s="12">
        <v>0.4548611111111111</v>
      </c>
      <c r="I9" s="12">
        <v>0.4965277777777778</v>
      </c>
      <c r="J9" s="12">
        <v>0.5381944444444444</v>
      </c>
      <c r="K9" s="12">
        <v>0.5798611111111112</v>
      </c>
      <c r="L9" s="12">
        <v>0.6215277777777778</v>
      </c>
      <c r="M9" s="12">
        <v>0.6631944444444444</v>
      </c>
      <c r="N9" s="12">
        <v>0.7048611111111112</v>
      </c>
      <c r="O9" s="12">
        <v>0.7256944444444444</v>
      </c>
      <c r="P9" s="12">
        <v>0.7465277777777778</v>
      </c>
      <c r="Q9" s="29">
        <f t="shared" ref="Q9:S9" si="5">Q8+P9-P8</f>
        <v>0.7673611111</v>
      </c>
      <c r="R9" s="29">
        <f t="shared" si="5"/>
        <v>0.8090277778</v>
      </c>
      <c r="S9" s="29">
        <f t="shared" si="5"/>
        <v>0.8506944444</v>
      </c>
      <c r="T9" s="12"/>
    </row>
    <row r="10">
      <c r="A10" s="1" t="s">
        <v>75</v>
      </c>
      <c r="B10" s="11" t="s">
        <v>76</v>
      </c>
      <c r="C10" s="12">
        <v>0.22916666666666666</v>
      </c>
      <c r="D10" s="12">
        <v>0.29305555555555557</v>
      </c>
      <c r="E10" s="12">
        <v>0.3347222222222222</v>
      </c>
      <c r="F10" s="12">
        <v>0.3763888888888889</v>
      </c>
      <c r="G10" s="12">
        <v>0.41805555555555557</v>
      </c>
      <c r="H10" s="12">
        <v>0.4597222222222222</v>
      </c>
      <c r="I10" s="12">
        <v>0.5013888888888889</v>
      </c>
      <c r="J10" s="12">
        <v>0.5430555555555555</v>
      </c>
      <c r="K10" s="12">
        <v>0.5847222222222223</v>
      </c>
      <c r="L10" s="12">
        <v>0.6263888888888889</v>
      </c>
      <c r="M10" s="12">
        <v>0.6680555555555555</v>
      </c>
      <c r="N10" s="12">
        <v>0.7097222222222223</v>
      </c>
      <c r="O10" s="12">
        <v>0.7305555555555555</v>
      </c>
      <c r="P10" s="12">
        <v>0.7513888888888889</v>
      </c>
      <c r="Q10" s="29">
        <f t="shared" ref="Q10:S10" si="6">Q9+P10-P9</f>
        <v>0.7722222222</v>
      </c>
      <c r="R10" s="29">
        <f t="shared" si="6"/>
        <v>0.8138888889</v>
      </c>
      <c r="S10" s="29">
        <f t="shared" si="6"/>
        <v>0.8555555556</v>
      </c>
      <c r="T10" s="12"/>
    </row>
    <row r="11">
      <c r="A11" s="1" t="s">
        <v>80</v>
      </c>
      <c r="B11" s="11" t="s">
        <v>82</v>
      </c>
      <c r="C11" s="12">
        <v>0.23333333333333334</v>
      </c>
      <c r="D11" s="12">
        <v>0.2972222222222222</v>
      </c>
      <c r="E11" s="12">
        <v>0.3388888888888889</v>
      </c>
      <c r="F11" s="12">
        <v>0.38055555555555554</v>
      </c>
      <c r="G11" s="12">
        <v>0.4222222222222222</v>
      </c>
      <c r="H11" s="12">
        <v>0.4638888888888889</v>
      </c>
      <c r="I11" s="12">
        <v>0.5055555555555555</v>
      </c>
      <c r="J11" s="12">
        <v>0.5472222222222223</v>
      </c>
      <c r="K11" s="12">
        <v>0.5888888888888889</v>
      </c>
      <c r="L11" s="12">
        <v>0.6305555555555555</v>
      </c>
      <c r="M11" s="12">
        <v>0.6722222222222223</v>
      </c>
      <c r="N11" s="12">
        <v>0.7138888888888889</v>
      </c>
      <c r="O11" s="12">
        <v>0.7347222222222223</v>
      </c>
      <c r="P11" s="12">
        <v>0.7555555555555555</v>
      </c>
      <c r="Q11" s="29">
        <f t="shared" ref="Q11:S11" si="7">Q10+P11-P10</f>
        <v>0.7763888889</v>
      </c>
      <c r="R11" s="29">
        <f t="shared" si="7"/>
        <v>0.8180555556</v>
      </c>
      <c r="S11" s="29">
        <f t="shared" si="7"/>
        <v>0.8597222222</v>
      </c>
      <c r="T11" s="12"/>
    </row>
    <row r="12">
      <c r="A12" s="1" t="s">
        <v>85</v>
      </c>
      <c r="B12" s="11" t="s">
        <v>86</v>
      </c>
      <c r="C12" s="12">
        <v>0.2388888888888889</v>
      </c>
      <c r="D12" s="12">
        <v>0.30277777777777776</v>
      </c>
      <c r="E12" s="12">
        <v>0.34444444444444444</v>
      </c>
      <c r="F12" s="12">
        <v>0.3861111111111111</v>
      </c>
      <c r="G12" s="12">
        <v>0.42777777777777776</v>
      </c>
      <c r="H12" s="12">
        <v>0.46944444444444444</v>
      </c>
      <c r="I12" s="12">
        <v>0.5111111111111111</v>
      </c>
      <c r="J12" s="12">
        <v>0.5527777777777778</v>
      </c>
      <c r="K12" s="12">
        <v>0.5944444444444444</v>
      </c>
      <c r="L12" s="12">
        <v>0.6361111111111111</v>
      </c>
      <c r="M12" s="12">
        <v>0.6777777777777778</v>
      </c>
      <c r="N12" s="12">
        <v>0.7194444444444444</v>
      </c>
      <c r="O12" s="12">
        <v>0.7402777777777778</v>
      </c>
      <c r="P12" s="12">
        <v>0.7611111111111111</v>
      </c>
      <c r="Q12" s="29">
        <f t="shared" ref="Q12:S12" si="8">Q11+P12-P11</f>
        <v>0.7819444444</v>
      </c>
      <c r="R12" s="29">
        <f t="shared" si="8"/>
        <v>0.8236111111</v>
      </c>
      <c r="S12" s="29">
        <f t="shared" si="8"/>
        <v>0.8652777778</v>
      </c>
      <c r="T12" s="12"/>
    </row>
    <row r="13">
      <c r="A13" s="1" t="s">
        <v>83</v>
      </c>
      <c r="B13" s="11" t="s">
        <v>84</v>
      </c>
      <c r="C13" s="12">
        <v>0.24513888888888888</v>
      </c>
      <c r="D13" s="12">
        <v>0.3090277777777778</v>
      </c>
      <c r="E13" s="12">
        <v>0.3506944444444444</v>
      </c>
      <c r="F13" s="12">
        <v>0.3923611111111111</v>
      </c>
      <c r="G13" s="12">
        <v>0.4340277777777778</v>
      </c>
      <c r="H13" s="12">
        <v>0.4756944444444444</v>
      </c>
      <c r="I13" s="12">
        <v>0.5173611111111112</v>
      </c>
      <c r="J13" s="12">
        <v>0.5590277777777778</v>
      </c>
      <c r="K13" s="12">
        <v>0.6006944444444444</v>
      </c>
      <c r="L13" s="12">
        <v>0.6423611111111112</v>
      </c>
      <c r="M13" s="12">
        <v>0.6840277777777778</v>
      </c>
      <c r="N13" s="12">
        <v>0.7256944444444444</v>
      </c>
      <c r="O13" s="12">
        <v>0.7465277777777778</v>
      </c>
      <c r="P13" s="12">
        <v>0.7673611111111112</v>
      </c>
      <c r="Q13" s="29">
        <f t="shared" ref="Q13:S13" si="9">Q12+P13-P12</f>
        <v>0.7881944444</v>
      </c>
      <c r="R13" s="29">
        <f t="shared" si="9"/>
        <v>0.8298611111</v>
      </c>
      <c r="S13" s="29">
        <f t="shared" si="9"/>
        <v>0.8715277778</v>
      </c>
      <c r="T13" s="12"/>
    </row>
    <row r="14">
      <c r="A14" s="1" t="s">
        <v>79</v>
      </c>
      <c r="B14" s="11" t="s">
        <v>81</v>
      </c>
      <c r="C14" s="12">
        <v>0.25</v>
      </c>
      <c r="D14" s="12">
        <v>0.3138888888888889</v>
      </c>
      <c r="E14" s="12">
        <v>0.35555555555555557</v>
      </c>
      <c r="F14" s="12">
        <v>0.3972222222222222</v>
      </c>
      <c r="G14" s="12">
        <v>0.4388888888888889</v>
      </c>
      <c r="H14" s="12">
        <v>0.48055555555555557</v>
      </c>
      <c r="I14" s="12">
        <v>0.5222222222222223</v>
      </c>
      <c r="J14" s="12">
        <v>0.5638888888888889</v>
      </c>
      <c r="K14" s="12">
        <v>0.6055555555555555</v>
      </c>
      <c r="L14" s="12">
        <v>0.6472222222222223</v>
      </c>
      <c r="M14" s="12">
        <v>0.6888888888888889</v>
      </c>
      <c r="N14" s="12">
        <v>0.7305555555555555</v>
      </c>
      <c r="O14" s="12">
        <v>0.7513888888888889</v>
      </c>
      <c r="P14" s="12">
        <v>0.7722222222222223</v>
      </c>
      <c r="Q14" s="29">
        <f t="shared" ref="Q14:S14" si="10">Q13+P14-P13</f>
        <v>0.7930555556</v>
      </c>
      <c r="R14" s="29">
        <f t="shared" si="10"/>
        <v>0.8347222222</v>
      </c>
      <c r="S14" s="29">
        <f t="shared" si="10"/>
        <v>0.8763888889</v>
      </c>
    </row>
    <row r="15">
      <c r="A15" s="1" t="s">
        <v>77</v>
      </c>
      <c r="B15" s="11" t="s">
        <v>78</v>
      </c>
      <c r="C15" s="12">
        <v>0.2534722222222222</v>
      </c>
      <c r="D15" s="12">
        <v>0.3173611111111111</v>
      </c>
      <c r="E15" s="12">
        <v>0.3590277777777778</v>
      </c>
      <c r="F15" s="12">
        <v>0.40069444444444446</v>
      </c>
      <c r="G15" s="12">
        <v>0.4423611111111111</v>
      </c>
      <c r="H15" s="12">
        <v>0.4840277777777778</v>
      </c>
      <c r="I15" s="12">
        <v>0.5256944444444445</v>
      </c>
      <c r="J15" s="12">
        <v>0.5673611111111111</v>
      </c>
      <c r="K15" s="12">
        <v>0.6090277777777777</v>
      </c>
      <c r="L15" s="12">
        <v>0.6506944444444445</v>
      </c>
      <c r="M15" s="12">
        <v>0.6923611111111111</v>
      </c>
      <c r="N15" s="12">
        <v>0.7340277777777777</v>
      </c>
      <c r="O15" s="12">
        <v>0.7548611111111111</v>
      </c>
      <c r="P15" s="12">
        <v>0.7756944444444445</v>
      </c>
      <c r="Q15" s="29">
        <f t="shared" ref="Q15:S15" si="11">Q14+P15-P14</f>
        <v>0.7965277778</v>
      </c>
      <c r="R15" s="29">
        <f t="shared" si="11"/>
        <v>0.8381944444</v>
      </c>
      <c r="S15" s="29">
        <f t="shared" si="11"/>
        <v>0.8798611111</v>
      </c>
    </row>
    <row r="16">
      <c r="A16" s="1" t="s">
        <v>73</v>
      </c>
      <c r="B16" s="11" t="s">
        <v>74</v>
      </c>
      <c r="C16" s="12">
        <v>0.2569444444444444</v>
      </c>
      <c r="D16" s="12">
        <v>0.32083333333333336</v>
      </c>
      <c r="E16" s="12">
        <v>0.3625</v>
      </c>
      <c r="F16" s="12">
        <v>0.4041666666666667</v>
      </c>
      <c r="G16" s="12">
        <v>0.44583333333333336</v>
      </c>
      <c r="H16" s="12">
        <v>0.4875</v>
      </c>
      <c r="I16" s="12">
        <v>0.5291666666666667</v>
      </c>
      <c r="J16" s="12">
        <v>0.5708333333333333</v>
      </c>
      <c r="K16" s="12">
        <v>0.6125</v>
      </c>
      <c r="L16" s="12">
        <v>0.6541666666666667</v>
      </c>
      <c r="M16" s="12">
        <v>0.6958333333333333</v>
      </c>
      <c r="N16" s="12">
        <v>0.7375</v>
      </c>
      <c r="O16" s="12">
        <v>0.7583333333333333</v>
      </c>
      <c r="P16" s="12">
        <v>0.7791666666666667</v>
      </c>
      <c r="Q16" s="29">
        <f t="shared" ref="Q16:S16" si="12">Q15+P16-P15</f>
        <v>0.8</v>
      </c>
      <c r="R16" s="29">
        <f t="shared" si="12"/>
        <v>0.8416666667</v>
      </c>
      <c r="S16" s="29">
        <f t="shared" si="12"/>
        <v>0.8833333333</v>
      </c>
      <c r="T16" s="12"/>
    </row>
    <row r="17">
      <c r="A17" s="1" t="s">
        <v>71</v>
      </c>
      <c r="B17" s="11" t="s">
        <v>72</v>
      </c>
      <c r="C17" s="12">
        <v>0.2604166666666667</v>
      </c>
      <c r="D17" s="12">
        <v>0.32430555555555557</v>
      </c>
      <c r="E17" s="12">
        <v>0.3659722222222222</v>
      </c>
      <c r="F17" s="12">
        <v>0.4076388888888889</v>
      </c>
      <c r="G17" s="12">
        <v>0.44930555555555557</v>
      </c>
      <c r="H17" s="12">
        <v>0.4909722222222222</v>
      </c>
      <c r="I17" s="12">
        <v>0.5326388888888889</v>
      </c>
      <c r="J17" s="12">
        <v>0.5743055555555555</v>
      </c>
      <c r="K17" s="12">
        <v>0.6159722222222223</v>
      </c>
      <c r="L17" s="12">
        <v>0.6576388888888889</v>
      </c>
      <c r="M17" s="12">
        <v>0.6993055555555555</v>
      </c>
      <c r="N17" s="12">
        <v>0.7409722222222223</v>
      </c>
      <c r="O17" s="12">
        <v>0.7618055555555555</v>
      </c>
      <c r="P17" s="12">
        <v>0.7826388888888889</v>
      </c>
      <c r="Q17" s="29">
        <f t="shared" ref="Q17:S17" si="13">Q16+P17-P16</f>
        <v>0.8034722222</v>
      </c>
      <c r="R17" s="29">
        <f t="shared" si="13"/>
        <v>0.8451388889</v>
      </c>
      <c r="S17" s="29">
        <f t="shared" si="13"/>
        <v>0.8868055556</v>
      </c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7"/>
      <c r="I23" s="16"/>
      <c r="J23" s="16"/>
      <c r="K23" s="17"/>
      <c r="L23" s="17"/>
      <c r="M23" s="16"/>
      <c r="N23" s="16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>
      <c r="A38" s="32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'DURBN-to-UMLAZ_Weekday'!B1</f>
        <v>46230</v>
      </c>
      <c r="C1" s="1" t="str">
        <f>'DURBN-to-UMLAZ_Weekday'!C1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9113.0</v>
      </c>
      <c r="D2" s="25">
        <v>9119.0</v>
      </c>
      <c r="E2" s="25">
        <v>9123.0</v>
      </c>
      <c r="F2" s="25">
        <v>9133.0</v>
      </c>
      <c r="G2" s="25">
        <v>9139.0</v>
      </c>
      <c r="H2" s="25">
        <v>9143.0</v>
      </c>
      <c r="I2" s="25">
        <v>9153.0</v>
      </c>
      <c r="J2" s="25">
        <v>9163.0</v>
      </c>
      <c r="K2" s="25">
        <v>9173.0</v>
      </c>
      <c r="L2" s="25">
        <v>9183.0</v>
      </c>
      <c r="M2" s="25">
        <v>9203.0</v>
      </c>
      <c r="N2" s="25">
        <v>9213.0</v>
      </c>
      <c r="O2" s="25">
        <v>9223.0</v>
      </c>
      <c r="P2" s="25">
        <v>9233.0</v>
      </c>
      <c r="Q2" s="25">
        <v>9243.0</v>
      </c>
      <c r="R2" s="25">
        <v>9253.0</v>
      </c>
      <c r="S2" s="25">
        <v>9277.0</v>
      </c>
      <c r="T2" s="25">
        <v>9287.0</v>
      </c>
      <c r="U2" s="28"/>
      <c r="V2" s="28"/>
      <c r="W2" s="28"/>
      <c r="X2" s="28"/>
      <c r="Y2" s="28"/>
      <c r="Z2" s="28"/>
      <c r="AA2" s="28"/>
    </row>
    <row r="3">
      <c r="A3" s="7" t="s">
        <v>71</v>
      </c>
      <c r="B3" s="8" t="s">
        <v>72</v>
      </c>
      <c r="C3" s="12">
        <v>0.16458333333333333</v>
      </c>
      <c r="D3" s="12">
        <v>0.18541666666666667</v>
      </c>
      <c r="E3" s="12">
        <v>0.20625</v>
      </c>
      <c r="F3" s="12">
        <v>0.22708333333333333</v>
      </c>
      <c r="G3" s="12"/>
      <c r="H3" s="12">
        <v>0.26875</v>
      </c>
      <c r="I3" s="12">
        <v>0.33125</v>
      </c>
      <c r="J3" s="12">
        <v>0.3729166666666667</v>
      </c>
      <c r="K3" s="12">
        <v>0.41458333333333336</v>
      </c>
      <c r="L3" s="12">
        <v>0.45625</v>
      </c>
      <c r="M3" s="12">
        <v>0.4979166666666667</v>
      </c>
      <c r="N3" s="12">
        <v>0.5395833333333333</v>
      </c>
      <c r="O3" s="12">
        <v>0.58125</v>
      </c>
      <c r="P3" s="12">
        <v>0.6229166666666667</v>
      </c>
      <c r="Q3" s="12">
        <v>0.6645833333333333</v>
      </c>
      <c r="R3" s="12">
        <v>0.70625</v>
      </c>
      <c r="S3" s="12">
        <v>0.8104166666666667</v>
      </c>
      <c r="T3" s="12">
        <v>0.8520833333333333</v>
      </c>
      <c r="U3" s="10"/>
      <c r="V3" s="10"/>
      <c r="W3" s="10"/>
      <c r="X3" s="10"/>
      <c r="Y3" s="10"/>
      <c r="Z3" s="10"/>
      <c r="AA3" s="10"/>
    </row>
    <row r="4">
      <c r="A4" s="1" t="s">
        <v>73</v>
      </c>
      <c r="B4" s="11" t="s">
        <v>74</v>
      </c>
      <c r="C4" s="12">
        <v>0.16805555555555557</v>
      </c>
      <c r="D4" s="12">
        <v>0.18888888888888888</v>
      </c>
      <c r="E4" s="12">
        <v>0.20972222222222223</v>
      </c>
      <c r="F4" s="12">
        <v>0.23055555555555557</v>
      </c>
      <c r="G4" s="12"/>
      <c r="H4" s="12">
        <v>0.2722222222222222</v>
      </c>
      <c r="I4" s="12">
        <v>0.3347222222222222</v>
      </c>
      <c r="J4" s="12">
        <v>0.3763888888888889</v>
      </c>
      <c r="K4" s="12">
        <v>0.41805555555555557</v>
      </c>
      <c r="L4" s="12">
        <v>0.4597222222222222</v>
      </c>
      <c r="M4" s="12">
        <v>0.5013888888888889</v>
      </c>
      <c r="N4" s="12">
        <v>0.5430555555555555</v>
      </c>
      <c r="O4" s="12">
        <v>0.5847222222222223</v>
      </c>
      <c r="P4" s="12">
        <v>0.6263888888888889</v>
      </c>
      <c r="Q4" s="12">
        <v>0.6680555555555555</v>
      </c>
      <c r="R4" s="12">
        <v>0.7097222222222223</v>
      </c>
      <c r="S4" s="12">
        <v>0.8138888888888889</v>
      </c>
      <c r="T4" s="12">
        <v>0.8555555555555555</v>
      </c>
    </row>
    <row r="5">
      <c r="A5" s="1" t="s">
        <v>77</v>
      </c>
      <c r="B5" s="31" t="s">
        <v>78</v>
      </c>
      <c r="C5" s="12">
        <v>0.17222222222222222</v>
      </c>
      <c r="D5" s="12">
        <v>0.19305555555555556</v>
      </c>
      <c r="E5" s="12">
        <v>0.21388888888888888</v>
      </c>
      <c r="F5" s="12">
        <v>0.23472222222222222</v>
      </c>
      <c r="G5" s="12">
        <v>0.25833333333333336</v>
      </c>
      <c r="H5" s="12">
        <v>0.2763888888888889</v>
      </c>
      <c r="I5" s="12">
        <v>0.3388888888888889</v>
      </c>
      <c r="J5" s="12">
        <v>0.38055555555555554</v>
      </c>
      <c r="K5" s="12">
        <v>0.4222222222222222</v>
      </c>
      <c r="L5" s="12">
        <v>0.4638888888888889</v>
      </c>
      <c r="M5" s="12">
        <v>0.5055555555555555</v>
      </c>
      <c r="N5" s="12">
        <v>0.5472222222222223</v>
      </c>
      <c r="O5" s="12">
        <v>0.5888888888888889</v>
      </c>
      <c r="P5" s="12">
        <v>0.6305555555555555</v>
      </c>
      <c r="Q5" s="12">
        <v>0.6722222222222223</v>
      </c>
      <c r="R5" s="12">
        <v>0.7138888888888889</v>
      </c>
      <c r="S5" s="12">
        <v>0.8180555555555555</v>
      </c>
      <c r="T5" s="12">
        <v>0.8597222222222223</v>
      </c>
    </row>
    <row r="6">
      <c r="A6" s="1" t="s">
        <v>79</v>
      </c>
      <c r="B6" s="31" t="s">
        <v>81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0.2625</v>
      </c>
      <c r="H6" s="12">
        <v>0.28055555555555556</v>
      </c>
      <c r="I6" s="12">
        <v>0.34305555555555556</v>
      </c>
      <c r="J6" s="12">
        <v>0.38472222222222224</v>
      </c>
      <c r="K6" s="12">
        <v>0.4263888888888889</v>
      </c>
      <c r="L6" s="12">
        <v>0.46805555555555556</v>
      </c>
      <c r="M6" s="12">
        <v>0.5097222222222222</v>
      </c>
      <c r="N6" s="12">
        <v>0.5513888888888889</v>
      </c>
      <c r="O6" s="12">
        <v>0.5930555555555556</v>
      </c>
      <c r="P6" s="12">
        <v>0.6347222222222222</v>
      </c>
      <c r="Q6" s="12">
        <v>0.6763888888888889</v>
      </c>
      <c r="R6" s="12">
        <v>0.7180555555555556</v>
      </c>
      <c r="S6" s="12">
        <v>0.8222222222222222</v>
      </c>
      <c r="T6" s="12">
        <v>0.8638888888888889</v>
      </c>
    </row>
    <row r="7">
      <c r="A7" s="1" t="s">
        <v>83</v>
      </c>
      <c r="B7" s="31" t="s">
        <v>84</v>
      </c>
      <c r="C7" s="12">
        <v>0.18263888888888888</v>
      </c>
      <c r="D7" s="12">
        <v>0.20347222222222222</v>
      </c>
      <c r="E7" s="12">
        <v>0.22430555555555556</v>
      </c>
      <c r="F7" s="12">
        <v>0.24513888888888888</v>
      </c>
      <c r="G7" s="12">
        <v>0.26875</v>
      </c>
      <c r="H7" s="12">
        <v>0.28680555555555554</v>
      </c>
      <c r="I7" s="12">
        <v>0.34930555555555554</v>
      </c>
      <c r="J7" s="12">
        <v>0.3909722222222222</v>
      </c>
      <c r="K7" s="12">
        <v>0.4326388888888889</v>
      </c>
      <c r="L7" s="12">
        <v>0.47430555555555554</v>
      </c>
      <c r="M7" s="12">
        <v>0.5159722222222223</v>
      </c>
      <c r="N7" s="12">
        <v>0.5576388888888889</v>
      </c>
      <c r="O7" s="12">
        <v>0.5993055555555555</v>
      </c>
      <c r="P7" s="12">
        <v>0.6409722222222223</v>
      </c>
      <c r="Q7" s="12">
        <v>0.6826388888888889</v>
      </c>
      <c r="R7" s="12">
        <v>0.7243055555555555</v>
      </c>
      <c r="S7" s="12">
        <v>0.8284722222222223</v>
      </c>
      <c r="T7" s="12">
        <v>0.8701388888888889</v>
      </c>
    </row>
    <row r="8">
      <c r="A8" s="1" t="s">
        <v>85</v>
      </c>
      <c r="B8" s="31" t="s">
        <v>86</v>
      </c>
      <c r="C8" s="12">
        <v>0.18819444444444444</v>
      </c>
      <c r="D8" s="12">
        <v>0.20902777777777778</v>
      </c>
      <c r="E8" s="12">
        <v>0.2298611111111111</v>
      </c>
      <c r="F8" s="12">
        <v>0.25069444444444444</v>
      </c>
      <c r="G8" s="12">
        <v>0.2743055555555556</v>
      </c>
      <c r="H8" s="12">
        <v>0.2923611111111111</v>
      </c>
      <c r="I8" s="12">
        <v>0.3548611111111111</v>
      </c>
      <c r="J8" s="12">
        <v>0.39652777777777776</v>
      </c>
      <c r="K8" s="12">
        <v>0.43819444444444444</v>
      </c>
      <c r="L8" s="12">
        <v>0.4798611111111111</v>
      </c>
      <c r="M8" s="12">
        <v>0.5215277777777778</v>
      </c>
      <c r="N8" s="12">
        <v>0.5631944444444444</v>
      </c>
      <c r="O8" s="12">
        <v>0.6048611111111111</v>
      </c>
      <c r="P8" s="12">
        <v>0.6465277777777778</v>
      </c>
      <c r="Q8" s="12">
        <v>0.6881944444444444</v>
      </c>
      <c r="R8" s="12">
        <v>0.7298611111111111</v>
      </c>
      <c r="S8" s="12">
        <v>0.8340277777777778</v>
      </c>
      <c r="T8" s="12">
        <v>0.8756944444444444</v>
      </c>
    </row>
    <row r="9">
      <c r="A9" s="1" t="s">
        <v>80</v>
      </c>
      <c r="B9" s="31" t="s">
        <v>82</v>
      </c>
      <c r="C9" s="12">
        <v>0.19166666666666668</v>
      </c>
      <c r="D9" s="12">
        <v>0.2125</v>
      </c>
      <c r="E9" s="12">
        <v>0.23333333333333334</v>
      </c>
      <c r="F9" s="12">
        <v>0.25416666666666665</v>
      </c>
      <c r="G9" s="12">
        <v>0.2777777777777778</v>
      </c>
      <c r="H9" s="12">
        <v>0.29583333333333334</v>
      </c>
      <c r="I9" s="12">
        <v>0.35833333333333334</v>
      </c>
      <c r="J9" s="12">
        <v>0.4</v>
      </c>
      <c r="K9" s="12">
        <v>0.44166666666666665</v>
      </c>
      <c r="L9" s="12">
        <v>0.48333333333333334</v>
      </c>
      <c r="M9" s="12">
        <v>0.525</v>
      </c>
      <c r="N9" s="12">
        <v>0.5666666666666667</v>
      </c>
      <c r="O9" s="12">
        <v>0.6083333333333333</v>
      </c>
      <c r="P9" s="12">
        <v>0.65</v>
      </c>
      <c r="Q9" s="12">
        <v>0.6916666666666667</v>
      </c>
      <c r="R9" s="12">
        <v>0.7333333333333333</v>
      </c>
      <c r="S9" s="12">
        <v>0.8375</v>
      </c>
      <c r="T9" s="12">
        <v>0.8791666666666667</v>
      </c>
    </row>
    <row r="10">
      <c r="A10" s="1" t="s">
        <v>75</v>
      </c>
      <c r="B10" s="11" t="s">
        <v>76</v>
      </c>
      <c r="C10" s="12">
        <v>0.19652777777777777</v>
      </c>
      <c r="D10" s="12">
        <v>0.21736111111111112</v>
      </c>
      <c r="E10" s="12">
        <v>0.23819444444444443</v>
      </c>
      <c r="F10" s="12">
        <v>0.2590277777777778</v>
      </c>
      <c r="G10" s="12">
        <v>0.2826388888888889</v>
      </c>
      <c r="H10" s="12">
        <v>0.30069444444444443</v>
      </c>
      <c r="I10" s="12">
        <v>0.36319444444444443</v>
      </c>
      <c r="J10" s="12">
        <v>0.4048611111111111</v>
      </c>
      <c r="K10" s="12">
        <v>0.4465277777777778</v>
      </c>
      <c r="L10" s="12">
        <v>0.48819444444444443</v>
      </c>
      <c r="M10" s="12">
        <v>0.5298611111111111</v>
      </c>
      <c r="N10" s="12">
        <v>0.5715277777777777</v>
      </c>
      <c r="O10" s="12">
        <v>0.6131944444444445</v>
      </c>
      <c r="P10" s="12">
        <v>0.6548611111111111</v>
      </c>
      <c r="Q10" s="12">
        <v>0.6965277777777777</v>
      </c>
      <c r="R10" s="12">
        <v>0.7381944444444445</v>
      </c>
      <c r="S10" s="12">
        <v>0.8423611111111111</v>
      </c>
      <c r="T10" s="12">
        <v>0.8840277777777777</v>
      </c>
    </row>
    <row r="11">
      <c r="A11" s="1" t="s">
        <v>69</v>
      </c>
      <c r="B11" s="31" t="s">
        <v>70</v>
      </c>
      <c r="C11" s="12">
        <v>0.20069444444444445</v>
      </c>
      <c r="D11" s="12">
        <v>0.22152777777777777</v>
      </c>
      <c r="E11" s="12">
        <v>0.2423611111111111</v>
      </c>
      <c r="F11" s="12">
        <v>0.26319444444444445</v>
      </c>
      <c r="G11" s="12">
        <v>0.28680555555555554</v>
      </c>
      <c r="H11" s="12">
        <v>0.30486111111111114</v>
      </c>
      <c r="I11" s="12">
        <v>0.36736111111111114</v>
      </c>
      <c r="J11" s="12">
        <v>0.40902777777777777</v>
      </c>
      <c r="K11" s="12">
        <v>0.45069444444444445</v>
      </c>
      <c r="L11" s="12">
        <v>0.49236111111111114</v>
      </c>
      <c r="M11" s="12">
        <v>0.5340277777777778</v>
      </c>
      <c r="N11" s="12">
        <v>0.5756944444444444</v>
      </c>
      <c r="O11" s="12">
        <v>0.6173611111111111</v>
      </c>
      <c r="P11" s="12">
        <v>0.6590277777777778</v>
      </c>
      <c r="Q11" s="12">
        <v>0.7006944444444444</v>
      </c>
      <c r="R11" s="12">
        <v>0.7423611111111111</v>
      </c>
      <c r="S11" s="12">
        <v>0.8465277777777778</v>
      </c>
      <c r="T11" s="12">
        <v>0.8881944444444444</v>
      </c>
    </row>
    <row r="12">
      <c r="A12" s="1" t="s">
        <v>67</v>
      </c>
      <c r="B12" s="31" t="s">
        <v>68</v>
      </c>
      <c r="C12" s="12">
        <v>0.20555555555555555</v>
      </c>
      <c r="D12" s="12">
        <v>0.2263888888888889</v>
      </c>
      <c r="E12" s="12">
        <v>0.24722222222222223</v>
      </c>
      <c r="F12" s="12">
        <v>0.26805555555555555</v>
      </c>
      <c r="G12" s="12">
        <v>0.2916666666666667</v>
      </c>
      <c r="H12" s="12">
        <v>0.30972222222222223</v>
      </c>
      <c r="I12" s="12">
        <v>0.37222222222222223</v>
      </c>
      <c r="J12" s="12">
        <v>0.41388888888888886</v>
      </c>
      <c r="K12" s="12">
        <v>0.45555555555555555</v>
      </c>
      <c r="L12" s="12">
        <v>0.49722222222222223</v>
      </c>
      <c r="M12" s="12">
        <v>0.5388888888888889</v>
      </c>
      <c r="N12" s="12">
        <v>0.5805555555555556</v>
      </c>
      <c r="O12" s="12">
        <v>0.6222222222222222</v>
      </c>
      <c r="P12" s="12">
        <v>0.6638888888888889</v>
      </c>
      <c r="Q12" s="12">
        <v>0.7055555555555556</v>
      </c>
      <c r="R12" s="12">
        <v>0.7472222222222222</v>
      </c>
      <c r="S12" s="12">
        <v>0.8513888888888889</v>
      </c>
      <c r="T12" s="12">
        <v>0.8930555555555556</v>
      </c>
    </row>
    <row r="13">
      <c r="A13" s="1" t="s">
        <v>65</v>
      </c>
      <c r="B13" s="31" t="s">
        <v>66</v>
      </c>
      <c r="C13" s="12">
        <v>0.20902777777777778</v>
      </c>
      <c r="D13" s="12">
        <v>0.2298611111111111</v>
      </c>
      <c r="E13" s="12">
        <v>0.25069444444444444</v>
      </c>
      <c r="F13" s="12">
        <v>0.27152777777777776</v>
      </c>
      <c r="G13" s="12">
        <v>0.2951388888888889</v>
      </c>
      <c r="H13" s="12">
        <v>0.31319444444444444</v>
      </c>
      <c r="I13" s="12">
        <v>0.37569444444444444</v>
      </c>
      <c r="J13" s="12">
        <v>0.4173611111111111</v>
      </c>
      <c r="K13" s="12">
        <v>0.45902777777777776</v>
      </c>
      <c r="L13" s="12">
        <v>0.5006944444444444</v>
      </c>
      <c r="M13" s="12">
        <v>0.5423611111111111</v>
      </c>
      <c r="N13" s="12">
        <v>0.5840277777777778</v>
      </c>
      <c r="O13" s="12">
        <v>0.6256944444444444</v>
      </c>
      <c r="P13" s="12">
        <v>0.6673611111111111</v>
      </c>
      <c r="Q13" s="12">
        <v>0.7090277777777778</v>
      </c>
      <c r="R13" s="12">
        <v>0.7506944444444444</v>
      </c>
      <c r="S13" s="12">
        <v>0.8548611111111111</v>
      </c>
      <c r="T13" s="12">
        <v>0.8965277777777778</v>
      </c>
    </row>
    <row r="14">
      <c r="A14" s="1" t="s">
        <v>63</v>
      </c>
      <c r="B14" s="31" t="s">
        <v>64</v>
      </c>
      <c r="C14" s="12">
        <v>0.21319444444444444</v>
      </c>
      <c r="D14" s="12">
        <v>0.23402777777777778</v>
      </c>
      <c r="E14" s="12">
        <v>0.2548611111111111</v>
      </c>
      <c r="F14" s="12">
        <v>0.27569444444444446</v>
      </c>
      <c r="G14" s="12">
        <v>0.29930555555555555</v>
      </c>
      <c r="H14" s="12">
        <v>0.3173611111111111</v>
      </c>
      <c r="I14" s="12">
        <v>0.3798611111111111</v>
      </c>
      <c r="J14" s="12">
        <v>0.4215277777777778</v>
      </c>
      <c r="K14" s="12">
        <v>0.46319444444444446</v>
      </c>
      <c r="L14" s="12">
        <v>0.5048611111111111</v>
      </c>
      <c r="M14" s="12">
        <v>0.5465277777777777</v>
      </c>
      <c r="N14" s="12">
        <v>0.5881944444444445</v>
      </c>
      <c r="O14" s="12">
        <v>0.6298611111111111</v>
      </c>
      <c r="P14" s="12">
        <v>0.6715277777777777</v>
      </c>
      <c r="Q14" s="12">
        <v>0.7131944444444445</v>
      </c>
      <c r="R14" s="12">
        <v>0.7548611111111111</v>
      </c>
      <c r="S14" s="12">
        <v>0.8590277777777777</v>
      </c>
      <c r="T14" s="12">
        <v>0.9006944444444445</v>
      </c>
    </row>
    <row r="15">
      <c r="A15" s="1" t="s">
        <v>61</v>
      </c>
      <c r="B15" s="31" t="s">
        <v>62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0.3013888888888889</v>
      </c>
      <c r="H15" s="12">
        <v>0.3194444444444444</v>
      </c>
      <c r="I15" s="12">
        <v>0.3819444444444444</v>
      </c>
      <c r="J15" s="12">
        <v>0.4236111111111111</v>
      </c>
      <c r="K15" s="12">
        <v>0.4652777777777778</v>
      </c>
      <c r="L15" s="12">
        <v>0.5069444444444444</v>
      </c>
      <c r="M15" s="12">
        <v>0.5486111111111112</v>
      </c>
      <c r="N15" s="12">
        <v>0.5902777777777778</v>
      </c>
      <c r="O15" s="12">
        <v>0.6319444444444444</v>
      </c>
      <c r="P15" s="12">
        <v>0.6736111111111112</v>
      </c>
      <c r="Q15" s="12">
        <v>0.7152777777777778</v>
      </c>
      <c r="R15" s="12">
        <v>0.7569444444444444</v>
      </c>
      <c r="S15" s="12">
        <v>0.8611111111111112</v>
      </c>
      <c r="T15" s="12">
        <v>0.9027777777777778</v>
      </c>
    </row>
    <row r="16">
      <c r="A16" s="1" t="s">
        <v>59</v>
      </c>
      <c r="B16" s="11" t="s">
        <v>60</v>
      </c>
      <c r="C16" s="12">
        <v>0.21875</v>
      </c>
      <c r="D16" s="12">
        <v>0.23958333333333334</v>
      </c>
      <c r="E16" s="12">
        <v>0.2604166666666667</v>
      </c>
      <c r="F16" s="12">
        <v>0.28125</v>
      </c>
      <c r="G16" s="12">
        <v>0.30486111111111114</v>
      </c>
      <c r="H16" s="12">
        <v>0.3229166666666667</v>
      </c>
      <c r="I16" s="12">
        <v>0.3854166666666667</v>
      </c>
      <c r="J16" s="12">
        <v>0.4270833333333333</v>
      </c>
      <c r="K16" s="12">
        <v>0.46875</v>
      </c>
      <c r="L16" s="12">
        <v>0.5104166666666666</v>
      </c>
      <c r="M16" s="12">
        <v>0.5520833333333334</v>
      </c>
      <c r="N16" s="12">
        <v>0.59375</v>
      </c>
      <c r="O16" s="12">
        <v>0.6354166666666666</v>
      </c>
      <c r="P16" s="12">
        <v>0.6770833333333334</v>
      </c>
      <c r="Q16" s="12">
        <v>0.71875</v>
      </c>
      <c r="R16" s="12">
        <v>0.7604166666666666</v>
      </c>
      <c r="S16" s="12">
        <v>0.8645833333333334</v>
      </c>
      <c r="T16" s="12">
        <v>0.90625</v>
      </c>
    </row>
    <row r="17">
      <c r="A17" s="1" t="s">
        <v>55</v>
      </c>
      <c r="B17" s="11" t="s">
        <v>56</v>
      </c>
      <c r="C17" s="12"/>
      <c r="D17" s="12">
        <v>0.24444444444444444</v>
      </c>
      <c r="E17" s="12"/>
      <c r="F17" s="12">
        <v>0.2861111111111111</v>
      </c>
      <c r="G17" s="12"/>
      <c r="H17" s="12">
        <v>0.3277777777777778</v>
      </c>
      <c r="I17" s="12"/>
      <c r="J17" s="12"/>
      <c r="K17" s="12"/>
      <c r="L17" s="12">
        <v>0.5152777777777777</v>
      </c>
      <c r="M17" s="12"/>
      <c r="N17" s="12">
        <v>0.5986111111111111</v>
      </c>
      <c r="O17" s="12">
        <v>0.6402777777777777</v>
      </c>
      <c r="P17" s="12"/>
      <c r="Q17" s="12"/>
      <c r="R17" s="12">
        <v>0.7652777777777777</v>
      </c>
      <c r="S17" s="12">
        <v>0.8694444444444445</v>
      </c>
      <c r="T17" s="12">
        <v>0.9111111111111111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7"/>
    </row>
    <row r="22">
      <c r="A22" s="16"/>
      <c r="B22" s="19"/>
      <c r="C22" s="17"/>
      <c r="D22" s="17"/>
      <c r="E22" s="17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6"/>
      <c r="C36" s="19"/>
      <c r="D36" s="16"/>
      <c r="E36" s="19"/>
      <c r="F36" s="16"/>
      <c r="G36" s="19"/>
      <c r="H36" s="16"/>
      <c r="I36" s="16"/>
      <c r="J36" s="16"/>
      <c r="K36" s="19"/>
      <c r="L36" s="16"/>
      <c r="M36" s="19"/>
      <c r="N36" s="19"/>
      <c r="O36" s="16"/>
      <c r="P36" s="16"/>
      <c r="Q36" s="19"/>
      <c r="R36" s="19"/>
      <c r="S36" s="19"/>
    </row>
    <row r="37">
      <c r="A37" s="32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'DURBN-to-UMLAZ_Weekday'!C1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</row>
    <row r="2">
      <c r="A2" s="25" t="s">
        <v>3</v>
      </c>
      <c r="B2" s="25" t="s">
        <v>4</v>
      </c>
      <c r="C2" s="25">
        <v>9130.0</v>
      </c>
      <c r="D2" s="25">
        <v>9140.0</v>
      </c>
      <c r="E2" s="25">
        <v>9150.0</v>
      </c>
      <c r="F2" s="25">
        <v>9170.0</v>
      </c>
      <c r="G2" s="25">
        <v>9204.0</v>
      </c>
      <c r="H2" s="25">
        <v>9230.0</v>
      </c>
      <c r="I2" s="25">
        <v>9260.0</v>
      </c>
      <c r="J2" s="25">
        <v>9270.0</v>
      </c>
      <c r="K2" s="25">
        <v>9280.0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8"/>
      <c r="W2" s="28"/>
      <c r="X2" s="28"/>
      <c r="Y2" s="28"/>
      <c r="Z2" s="28"/>
      <c r="AA2" s="28"/>
      <c r="AB2" s="28"/>
    </row>
    <row r="3">
      <c r="A3" s="1" t="s">
        <v>55</v>
      </c>
      <c r="B3" s="11" t="s">
        <v>56</v>
      </c>
      <c r="C3" s="12">
        <v>0.16111111111111112</v>
      </c>
      <c r="D3" s="29"/>
      <c r="E3" s="12"/>
      <c r="F3" s="12">
        <v>0.3277777777777778</v>
      </c>
      <c r="G3" s="12">
        <v>0.4527777777777778</v>
      </c>
      <c r="H3" s="12">
        <v>0.6194444444444445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1" t="s">
        <v>59</v>
      </c>
      <c r="B4" s="11" t="s">
        <v>60</v>
      </c>
      <c r="C4" s="12">
        <v>0.16597222222222222</v>
      </c>
      <c r="D4" s="29">
        <v>0.2076388888888889</v>
      </c>
      <c r="E4" s="12">
        <v>0.24930555555555556</v>
      </c>
      <c r="F4" s="12">
        <v>0.37430555555555556</v>
      </c>
      <c r="G4" s="12">
        <v>0.49930555555555556</v>
      </c>
      <c r="H4" s="12">
        <v>0.6243055555555556</v>
      </c>
      <c r="I4" s="12">
        <v>0.7076388888888889</v>
      </c>
      <c r="J4" s="12">
        <v>0.7493055555555556</v>
      </c>
      <c r="K4" s="12">
        <v>0.7909722222222222</v>
      </c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" t="s">
        <v>61</v>
      </c>
      <c r="B5" s="11" t="s">
        <v>62</v>
      </c>
      <c r="C5" s="12">
        <v>0.16805555555555557</v>
      </c>
      <c r="D5" s="29">
        <f t="shared" ref="D5:D17" si="1">D4+C5-C4</f>
        <v>0.2097222222</v>
      </c>
      <c r="E5" s="12">
        <v>0.2513888888888889</v>
      </c>
      <c r="F5" s="12">
        <v>0.3763888888888889</v>
      </c>
      <c r="G5" s="12">
        <v>0.5013888888888889</v>
      </c>
      <c r="H5" s="12">
        <v>0.6263888888888889</v>
      </c>
      <c r="I5" s="12">
        <v>0.7097222222222223</v>
      </c>
      <c r="J5" s="12">
        <v>0.7513888888888889</v>
      </c>
      <c r="K5" s="12">
        <v>0.7930555555555555</v>
      </c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" t="s">
        <v>63</v>
      </c>
      <c r="B6" s="11" t="s">
        <v>64</v>
      </c>
      <c r="C6" s="12">
        <v>0.17222222222222222</v>
      </c>
      <c r="D6" s="29">
        <f t="shared" si="1"/>
        <v>0.2138888889</v>
      </c>
      <c r="E6" s="12">
        <v>0.25555555555555554</v>
      </c>
      <c r="F6" s="12">
        <v>0.38055555555555554</v>
      </c>
      <c r="G6" s="12">
        <v>0.5055555555555555</v>
      </c>
      <c r="H6" s="12">
        <v>0.6305555555555555</v>
      </c>
      <c r="I6" s="12">
        <v>0.7138888888888889</v>
      </c>
      <c r="J6" s="12">
        <v>0.7555555555555555</v>
      </c>
      <c r="K6" s="12">
        <v>0.7972222222222223</v>
      </c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" t="s">
        <v>65</v>
      </c>
      <c r="B7" s="11" t="s">
        <v>66</v>
      </c>
      <c r="C7" s="12">
        <v>0.17569444444444443</v>
      </c>
      <c r="D7" s="29">
        <f t="shared" si="1"/>
        <v>0.2173611111</v>
      </c>
      <c r="E7" s="12">
        <v>0.2590277777777778</v>
      </c>
      <c r="F7" s="12">
        <v>0.3840277777777778</v>
      </c>
      <c r="G7" s="12">
        <v>0.5090277777777777</v>
      </c>
      <c r="H7" s="12">
        <v>0.6340277777777777</v>
      </c>
      <c r="I7" s="12">
        <v>0.7173611111111111</v>
      </c>
      <c r="J7" s="12">
        <v>0.7590277777777777</v>
      </c>
      <c r="K7" s="12">
        <v>0.8006944444444445</v>
      </c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" t="s">
        <v>67</v>
      </c>
      <c r="B8" s="11" t="s">
        <v>68</v>
      </c>
      <c r="C8" s="12">
        <v>0.17847222222222223</v>
      </c>
      <c r="D8" s="29">
        <f t="shared" si="1"/>
        <v>0.2201388889</v>
      </c>
      <c r="E8" s="12">
        <v>0.26180555555555557</v>
      </c>
      <c r="F8" s="12">
        <v>0.38680555555555557</v>
      </c>
      <c r="G8" s="12">
        <v>0.5118055555555555</v>
      </c>
      <c r="H8" s="12">
        <v>0.6368055555555555</v>
      </c>
      <c r="I8" s="12">
        <v>0.7201388888888889</v>
      </c>
      <c r="J8" s="12">
        <v>0.7618055555555555</v>
      </c>
      <c r="K8" s="12">
        <v>0.8034722222222223</v>
      </c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" t="s">
        <v>69</v>
      </c>
      <c r="B9" s="11" t="s">
        <v>70</v>
      </c>
      <c r="C9" s="12">
        <v>0.1840277777777778</v>
      </c>
      <c r="D9" s="29">
        <f t="shared" si="1"/>
        <v>0.2256944444</v>
      </c>
      <c r="E9" s="12">
        <v>0.2673611111111111</v>
      </c>
      <c r="F9" s="12">
        <v>0.3923611111111111</v>
      </c>
      <c r="G9" s="12">
        <v>0.5173611111111112</v>
      </c>
      <c r="H9" s="12">
        <v>0.6423611111111112</v>
      </c>
      <c r="I9" s="12">
        <v>0.7256944444444444</v>
      </c>
      <c r="J9" s="12">
        <v>0.7673611111111112</v>
      </c>
      <c r="K9" s="12">
        <v>0.8090277777777778</v>
      </c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" t="s">
        <v>75</v>
      </c>
      <c r="B10" s="11" t="s">
        <v>76</v>
      </c>
      <c r="C10" s="12">
        <v>0.18888888888888888</v>
      </c>
      <c r="D10" s="29">
        <f t="shared" si="1"/>
        <v>0.2305555556</v>
      </c>
      <c r="E10" s="12">
        <v>0.2722222222222222</v>
      </c>
      <c r="F10" s="12">
        <v>0.3972222222222222</v>
      </c>
      <c r="G10" s="12">
        <v>0.5222222222222223</v>
      </c>
      <c r="H10" s="12">
        <v>0.6472222222222223</v>
      </c>
      <c r="I10" s="12">
        <v>0.7305555555555555</v>
      </c>
      <c r="J10" s="12">
        <v>0.7722222222222223</v>
      </c>
      <c r="K10" s="12">
        <v>0.8138888888888889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" t="s">
        <v>80</v>
      </c>
      <c r="B11" s="11" t="s">
        <v>82</v>
      </c>
      <c r="C11" s="12">
        <v>0.19305555555555556</v>
      </c>
      <c r="D11" s="29">
        <f t="shared" si="1"/>
        <v>0.2347222222</v>
      </c>
      <c r="E11" s="12">
        <v>0.2763888888888889</v>
      </c>
      <c r="F11" s="12">
        <v>0.4013888888888889</v>
      </c>
      <c r="G11" s="12">
        <v>0.5263888888888889</v>
      </c>
      <c r="H11" s="12">
        <v>0.6513888888888889</v>
      </c>
      <c r="I11" s="12">
        <v>0.7347222222222223</v>
      </c>
      <c r="J11" s="12">
        <v>0.7763888888888889</v>
      </c>
      <c r="K11" s="12">
        <v>0.8180555555555555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" t="s">
        <v>85</v>
      </c>
      <c r="B12" s="11" t="s">
        <v>86</v>
      </c>
      <c r="C12" s="12">
        <v>0.1986111111111111</v>
      </c>
      <c r="D12" s="29">
        <f t="shared" si="1"/>
        <v>0.2402777778</v>
      </c>
      <c r="E12" s="12">
        <v>0.28194444444444444</v>
      </c>
      <c r="F12" s="12">
        <v>0.40694444444444444</v>
      </c>
      <c r="G12" s="12">
        <v>0.5319444444444444</v>
      </c>
      <c r="H12" s="12">
        <v>0.6569444444444444</v>
      </c>
      <c r="I12" s="12">
        <v>0.7402777777777778</v>
      </c>
      <c r="J12" s="12">
        <v>0.7819444444444444</v>
      </c>
      <c r="K12" s="12">
        <v>0.8236111111111111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" t="s">
        <v>83</v>
      </c>
      <c r="B13" s="11" t="s">
        <v>84</v>
      </c>
      <c r="C13" s="12">
        <v>0.2048611111111111</v>
      </c>
      <c r="D13" s="29">
        <f t="shared" si="1"/>
        <v>0.2465277778</v>
      </c>
      <c r="E13" s="12">
        <v>0.2881944444444444</v>
      </c>
      <c r="F13" s="12">
        <v>0.4131944444444444</v>
      </c>
      <c r="G13" s="12">
        <v>0.5381944444444444</v>
      </c>
      <c r="H13" s="12">
        <v>0.6631944444444444</v>
      </c>
      <c r="I13" s="12">
        <v>0.7465277777777778</v>
      </c>
      <c r="J13" s="12">
        <v>0.7881944444444444</v>
      </c>
      <c r="K13" s="12">
        <v>0.8298611111111112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" t="s">
        <v>79</v>
      </c>
      <c r="B14" s="11" t="s">
        <v>81</v>
      </c>
      <c r="C14" s="12">
        <v>0.20972222222222223</v>
      </c>
      <c r="D14" s="29">
        <f t="shared" si="1"/>
        <v>0.2513888889</v>
      </c>
      <c r="E14" s="12">
        <v>0.29305555555555557</v>
      </c>
      <c r="F14" s="12">
        <v>0.41805555555555557</v>
      </c>
      <c r="G14" s="12">
        <v>0.5430555555555555</v>
      </c>
      <c r="H14" s="12">
        <v>0.6680555555555555</v>
      </c>
      <c r="I14" s="12">
        <v>0.7513888888888889</v>
      </c>
      <c r="J14" s="12">
        <v>0.7930555555555555</v>
      </c>
      <c r="K14" s="12">
        <v>0.8347222222222223</v>
      </c>
      <c r="L14" s="12"/>
    </row>
    <row r="15">
      <c r="A15" s="1" t="s">
        <v>77</v>
      </c>
      <c r="B15" s="11" t="s">
        <v>78</v>
      </c>
      <c r="C15" s="12">
        <v>0.21319444444444444</v>
      </c>
      <c r="D15" s="29">
        <f t="shared" si="1"/>
        <v>0.2548611111</v>
      </c>
      <c r="E15" s="12">
        <v>0.2965277777777778</v>
      </c>
      <c r="F15" s="12">
        <v>0.4215277777777778</v>
      </c>
      <c r="G15" s="12">
        <v>0.5465277777777777</v>
      </c>
      <c r="H15" s="12">
        <v>0.6715277777777777</v>
      </c>
      <c r="I15" s="12">
        <v>0.7548611111111111</v>
      </c>
      <c r="J15" s="12">
        <v>0.7965277777777777</v>
      </c>
      <c r="K15" s="12">
        <v>0.8381944444444445</v>
      </c>
      <c r="L15" s="12"/>
    </row>
    <row r="16">
      <c r="A16" s="1" t="s">
        <v>73</v>
      </c>
      <c r="B16" s="11" t="s">
        <v>74</v>
      </c>
      <c r="C16" s="12">
        <v>0.21666666666666667</v>
      </c>
      <c r="D16" s="29">
        <f t="shared" si="1"/>
        <v>0.2583333333</v>
      </c>
      <c r="E16" s="12">
        <v>0.3</v>
      </c>
      <c r="F16" s="12">
        <v>0.425</v>
      </c>
      <c r="G16" s="12">
        <v>0.55</v>
      </c>
      <c r="H16" s="12">
        <v>0.675</v>
      </c>
      <c r="I16" s="12">
        <v>0.7583333333333333</v>
      </c>
      <c r="J16" s="12">
        <v>0.8</v>
      </c>
      <c r="K16" s="12">
        <v>0.8416666666666667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" t="s">
        <v>71</v>
      </c>
      <c r="B17" s="11" t="s">
        <v>72</v>
      </c>
      <c r="C17" s="12">
        <v>0.22013888888888888</v>
      </c>
      <c r="D17" s="29">
        <f t="shared" si="1"/>
        <v>0.2618055556</v>
      </c>
      <c r="E17" s="12">
        <v>0.3034722222222222</v>
      </c>
      <c r="F17" s="12">
        <v>0.4284722222222222</v>
      </c>
      <c r="G17" s="12">
        <v>0.5534722222222223</v>
      </c>
      <c r="H17" s="12">
        <v>0.6784722222222223</v>
      </c>
      <c r="I17" s="12">
        <v>0.7618055555555555</v>
      </c>
      <c r="J17" s="12">
        <v>0.8034722222222223</v>
      </c>
      <c r="K17" s="12">
        <v>0.8451388888888889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A22" s="16"/>
      <c r="B22" s="19"/>
      <c r="C22" s="16"/>
      <c r="D22" s="17"/>
      <c r="E22" s="17"/>
      <c r="F22" s="17"/>
      <c r="G22" s="17"/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6"/>
    </row>
    <row r="37">
      <c r="A37" s="32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'DURBN-to-UMLAZ_Sat'!B1</f>
        <v>46230</v>
      </c>
      <c r="C1" s="1" t="str">
        <f>'DURBN-to-UMLAZ_Weekday'!C1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</row>
    <row r="2">
      <c r="A2" s="25" t="s">
        <v>3</v>
      </c>
      <c r="B2" s="25" t="s">
        <v>4</v>
      </c>
      <c r="C2" s="25">
        <v>9129.0</v>
      </c>
      <c r="D2" s="25">
        <v>9139.0</v>
      </c>
      <c r="E2" s="25">
        <v>9149.0</v>
      </c>
      <c r="F2" s="25">
        <v>9159.0</v>
      </c>
      <c r="G2" s="25">
        <v>9179.0</v>
      </c>
      <c r="H2" s="25">
        <v>9209.0</v>
      </c>
      <c r="I2" s="25">
        <v>9239.0</v>
      </c>
      <c r="J2" s="25">
        <v>9259.0</v>
      </c>
      <c r="K2" s="25">
        <v>9279.0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8"/>
      <c r="W2" s="28"/>
      <c r="X2" s="28"/>
      <c r="Y2" s="28"/>
      <c r="Z2" s="28"/>
      <c r="AA2" s="28"/>
      <c r="AB2" s="28"/>
    </row>
    <row r="3">
      <c r="A3" s="7" t="s">
        <v>71</v>
      </c>
      <c r="B3" s="8" t="s">
        <v>72</v>
      </c>
      <c r="C3" s="12">
        <v>0.18541666666666667</v>
      </c>
      <c r="D3" s="12">
        <v>0.22708333333333333</v>
      </c>
      <c r="E3" s="12">
        <v>0.26875</v>
      </c>
      <c r="F3" s="29">
        <v>0.3104166666666667</v>
      </c>
      <c r="G3" s="12">
        <v>0.35208333333333336</v>
      </c>
      <c r="H3" s="12">
        <v>0.4354166666666667</v>
      </c>
      <c r="I3" s="12">
        <v>0.64375</v>
      </c>
      <c r="J3" s="12">
        <v>0.6854166666666667</v>
      </c>
      <c r="K3" s="12">
        <v>0.76875</v>
      </c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0"/>
      <c r="X3" s="10"/>
      <c r="Y3" s="10"/>
      <c r="Z3" s="10"/>
      <c r="AA3" s="10"/>
      <c r="AB3" s="10"/>
    </row>
    <row r="4">
      <c r="A4" s="1" t="s">
        <v>73</v>
      </c>
      <c r="B4" s="11" t="s">
        <v>74</v>
      </c>
      <c r="C4" s="12">
        <v>0.18888888888888888</v>
      </c>
      <c r="D4" s="12">
        <v>0.23055555555555557</v>
      </c>
      <c r="E4" s="12">
        <v>0.2722222222222222</v>
      </c>
      <c r="F4" s="29">
        <f t="shared" ref="F4:F16" si="1">F3+E4-E3</f>
        <v>0.3138888889</v>
      </c>
      <c r="G4" s="12">
        <v>0.35555555555555557</v>
      </c>
      <c r="H4" s="12">
        <v>0.4388888888888889</v>
      </c>
      <c r="I4" s="12">
        <v>0.6472222222222223</v>
      </c>
      <c r="J4" s="12">
        <v>0.6888888888888889</v>
      </c>
      <c r="K4" s="12">
        <v>0.7722222222222223</v>
      </c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" t="s">
        <v>77</v>
      </c>
      <c r="B5" s="31" t="s">
        <v>78</v>
      </c>
      <c r="C5" s="12">
        <v>0.19305555555555556</v>
      </c>
      <c r="D5" s="12">
        <v>0.23472222222222222</v>
      </c>
      <c r="E5" s="12">
        <v>0.2763888888888889</v>
      </c>
      <c r="F5" s="29">
        <f t="shared" si="1"/>
        <v>0.3180555556</v>
      </c>
      <c r="G5" s="12">
        <v>0.3597222222222222</v>
      </c>
      <c r="H5" s="12">
        <v>0.44305555555555554</v>
      </c>
      <c r="I5" s="12">
        <v>0.6513888888888889</v>
      </c>
      <c r="J5" s="12">
        <v>0.6930555555555555</v>
      </c>
      <c r="K5" s="12">
        <v>0.7763888888888889</v>
      </c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" t="s">
        <v>79</v>
      </c>
      <c r="B6" s="31" t="s">
        <v>81</v>
      </c>
      <c r="C6" s="12">
        <v>0.19722222222222222</v>
      </c>
      <c r="D6" s="12">
        <v>0.2388888888888889</v>
      </c>
      <c r="E6" s="12">
        <v>0.28055555555555556</v>
      </c>
      <c r="F6" s="29">
        <f t="shared" si="1"/>
        <v>0.3222222222</v>
      </c>
      <c r="G6" s="12">
        <v>0.3638888888888889</v>
      </c>
      <c r="H6" s="12">
        <v>0.44722222222222224</v>
      </c>
      <c r="I6" s="12">
        <v>0.6555555555555556</v>
      </c>
      <c r="J6" s="12">
        <v>0.6972222222222222</v>
      </c>
      <c r="K6" s="12">
        <v>0.7805555555555556</v>
      </c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" t="s">
        <v>83</v>
      </c>
      <c r="B7" s="31" t="s">
        <v>84</v>
      </c>
      <c r="C7" s="12">
        <v>0.20347222222222222</v>
      </c>
      <c r="D7" s="12">
        <v>0.24513888888888888</v>
      </c>
      <c r="E7" s="12">
        <v>0.28680555555555554</v>
      </c>
      <c r="F7" s="29">
        <f t="shared" si="1"/>
        <v>0.3284722222</v>
      </c>
      <c r="G7" s="12">
        <v>0.3701388888888889</v>
      </c>
      <c r="H7" s="12">
        <v>0.4534722222222222</v>
      </c>
      <c r="I7" s="12">
        <v>0.6618055555555555</v>
      </c>
      <c r="J7" s="12">
        <v>0.7034722222222223</v>
      </c>
      <c r="K7" s="12">
        <v>0.7868055555555555</v>
      </c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" t="s">
        <v>85</v>
      </c>
      <c r="B8" s="31" t="s">
        <v>86</v>
      </c>
      <c r="C8" s="12">
        <v>0.20902777777777778</v>
      </c>
      <c r="D8" s="12">
        <v>0.25069444444444444</v>
      </c>
      <c r="E8" s="12">
        <v>0.2923611111111111</v>
      </c>
      <c r="F8" s="29">
        <f t="shared" si="1"/>
        <v>0.3340277778</v>
      </c>
      <c r="G8" s="12">
        <v>0.37569444444444444</v>
      </c>
      <c r="H8" s="12">
        <v>0.45902777777777776</v>
      </c>
      <c r="I8" s="12">
        <v>0.6673611111111111</v>
      </c>
      <c r="J8" s="12">
        <v>0.7090277777777778</v>
      </c>
      <c r="K8" s="12">
        <v>0.7923611111111111</v>
      </c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" t="s">
        <v>80</v>
      </c>
      <c r="B9" s="31" t="s">
        <v>82</v>
      </c>
      <c r="C9" s="12">
        <v>0.2125</v>
      </c>
      <c r="D9" s="12">
        <v>0.25416666666666665</v>
      </c>
      <c r="E9" s="12">
        <v>0.29583333333333334</v>
      </c>
      <c r="F9" s="29">
        <f t="shared" si="1"/>
        <v>0.3375</v>
      </c>
      <c r="G9" s="12">
        <v>0.37916666666666665</v>
      </c>
      <c r="H9" s="12">
        <v>0.4625</v>
      </c>
      <c r="I9" s="12">
        <v>0.6708333333333333</v>
      </c>
      <c r="J9" s="12">
        <v>0.7125</v>
      </c>
      <c r="K9" s="12">
        <v>0.7958333333333333</v>
      </c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" t="s">
        <v>75</v>
      </c>
      <c r="B10" s="11" t="s">
        <v>76</v>
      </c>
      <c r="C10" s="12">
        <v>0.21736111111111112</v>
      </c>
      <c r="D10" s="12">
        <v>0.2590277777777778</v>
      </c>
      <c r="E10" s="12">
        <v>0.30069444444444443</v>
      </c>
      <c r="F10" s="29">
        <f t="shared" si="1"/>
        <v>0.3423611111</v>
      </c>
      <c r="G10" s="12">
        <v>0.3840277777777778</v>
      </c>
      <c r="H10" s="12">
        <v>0.4673611111111111</v>
      </c>
      <c r="I10" s="12">
        <v>0.6756944444444445</v>
      </c>
      <c r="J10" s="12">
        <v>0.7173611111111111</v>
      </c>
      <c r="K10" s="12">
        <v>0.8006944444444445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" t="s">
        <v>69</v>
      </c>
      <c r="B11" s="31" t="s">
        <v>70</v>
      </c>
      <c r="C11" s="12">
        <v>0.22152777777777777</v>
      </c>
      <c r="D11" s="12">
        <v>0.26319444444444445</v>
      </c>
      <c r="E11" s="12">
        <v>0.30486111111111114</v>
      </c>
      <c r="F11" s="29">
        <f t="shared" si="1"/>
        <v>0.3465277778</v>
      </c>
      <c r="G11" s="12">
        <v>0.38819444444444445</v>
      </c>
      <c r="H11" s="12">
        <v>0.47152777777777777</v>
      </c>
      <c r="I11" s="12">
        <v>0.6798611111111111</v>
      </c>
      <c r="J11" s="12">
        <v>0.7215277777777778</v>
      </c>
      <c r="K11" s="12">
        <v>0.8048611111111111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" t="s">
        <v>67</v>
      </c>
      <c r="B12" s="31" t="s">
        <v>68</v>
      </c>
      <c r="C12" s="12">
        <v>0.2263888888888889</v>
      </c>
      <c r="D12" s="12">
        <v>0.26805555555555555</v>
      </c>
      <c r="E12" s="12">
        <v>0.30972222222222223</v>
      </c>
      <c r="F12" s="29">
        <f t="shared" si="1"/>
        <v>0.3513888889</v>
      </c>
      <c r="G12" s="12">
        <v>0.39305555555555555</v>
      </c>
      <c r="H12" s="12">
        <v>0.47638888888888886</v>
      </c>
      <c r="I12" s="12">
        <v>0.6847222222222222</v>
      </c>
      <c r="J12" s="12">
        <v>0.7263888888888889</v>
      </c>
      <c r="K12" s="12">
        <v>0.8097222222222222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" t="s">
        <v>65</v>
      </c>
      <c r="B13" s="31" t="s">
        <v>66</v>
      </c>
      <c r="C13" s="12">
        <v>0.2298611111111111</v>
      </c>
      <c r="D13" s="12">
        <v>0.27152777777777776</v>
      </c>
      <c r="E13" s="12">
        <v>0.31319444444444444</v>
      </c>
      <c r="F13" s="29">
        <f t="shared" si="1"/>
        <v>0.3548611111</v>
      </c>
      <c r="G13" s="12">
        <v>0.39652777777777776</v>
      </c>
      <c r="H13" s="12">
        <v>0.4798611111111111</v>
      </c>
      <c r="I13" s="12">
        <v>0.6881944444444444</v>
      </c>
      <c r="J13" s="12">
        <v>0.7298611111111111</v>
      </c>
      <c r="K13" s="12">
        <v>0.8131944444444444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" t="s">
        <v>63</v>
      </c>
      <c r="B14" s="31" t="s">
        <v>64</v>
      </c>
      <c r="C14" s="12">
        <v>0.23402777777777778</v>
      </c>
      <c r="D14" s="12">
        <v>0.27569444444444446</v>
      </c>
      <c r="E14" s="12">
        <v>0.3173611111111111</v>
      </c>
      <c r="F14" s="29">
        <f t="shared" si="1"/>
        <v>0.3590277778</v>
      </c>
      <c r="G14" s="12">
        <v>0.40069444444444446</v>
      </c>
      <c r="H14" s="12">
        <v>0.4840277777777778</v>
      </c>
      <c r="I14" s="12">
        <v>0.6923611111111111</v>
      </c>
      <c r="J14" s="12">
        <v>0.7340277777777777</v>
      </c>
      <c r="K14" s="12">
        <v>0.8173611111111111</v>
      </c>
      <c r="L14" s="12"/>
    </row>
    <row r="15">
      <c r="A15" s="1" t="s">
        <v>61</v>
      </c>
      <c r="B15" s="31" t="s">
        <v>62</v>
      </c>
      <c r="C15" s="12">
        <v>0.2361111111111111</v>
      </c>
      <c r="D15" s="12">
        <v>0.2777777777777778</v>
      </c>
      <c r="E15" s="12">
        <v>0.3194444444444444</v>
      </c>
      <c r="F15" s="29">
        <f t="shared" si="1"/>
        <v>0.3611111111</v>
      </c>
      <c r="G15" s="12">
        <v>0.4027777777777778</v>
      </c>
      <c r="H15" s="12">
        <v>0.4861111111111111</v>
      </c>
      <c r="I15" s="12">
        <v>0.6944444444444444</v>
      </c>
      <c r="J15" s="12">
        <v>0.7361111111111112</v>
      </c>
      <c r="K15" s="12">
        <v>0.8194444444444444</v>
      </c>
      <c r="L15" s="12"/>
    </row>
    <row r="16">
      <c r="A16" s="1" t="s">
        <v>59</v>
      </c>
      <c r="B16" s="11" t="s">
        <v>60</v>
      </c>
      <c r="C16" s="12">
        <v>0.23958333333333334</v>
      </c>
      <c r="D16" s="12">
        <v>0.28125</v>
      </c>
      <c r="E16" s="12">
        <v>0.3229166666666667</v>
      </c>
      <c r="F16" s="29">
        <f t="shared" si="1"/>
        <v>0.3645833333</v>
      </c>
      <c r="G16" s="12">
        <v>0.40625</v>
      </c>
      <c r="H16" s="12">
        <v>0.4895833333333333</v>
      </c>
      <c r="I16" s="12">
        <v>0.6979166666666666</v>
      </c>
      <c r="J16" s="12">
        <v>0.7395833333333334</v>
      </c>
      <c r="K16" s="12">
        <v>0.8229166666666666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" t="s">
        <v>55</v>
      </c>
      <c r="B17" s="11" t="s">
        <v>56</v>
      </c>
      <c r="C17" s="12"/>
      <c r="D17" s="12"/>
      <c r="E17" s="12">
        <v>0.3277777777777778</v>
      </c>
      <c r="F17" s="12"/>
      <c r="G17" s="12"/>
      <c r="H17" s="12">
        <v>0.49444444444444446</v>
      </c>
      <c r="I17" s="12">
        <v>0.4111111111111111</v>
      </c>
      <c r="J17" s="12">
        <v>0.7444444444444445</v>
      </c>
      <c r="K17" s="12">
        <v>0.8277777777777777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>
      <c r="A21" s="16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A22" s="16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>
      <c r="A35" s="16"/>
      <c r="B35" s="16"/>
      <c r="C35" s="16"/>
      <c r="D35" s="19"/>
      <c r="E35" s="16"/>
      <c r="F35" s="19"/>
      <c r="G35" s="19"/>
      <c r="H35" s="19"/>
      <c r="I35" s="19"/>
      <c r="J35" s="19"/>
      <c r="K35" s="16"/>
    </row>
    <row r="36">
      <c r="A36" s="32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21">
        <v>9313.0</v>
      </c>
      <c r="D2" s="21">
        <v>9715.0</v>
      </c>
      <c r="E2" s="21">
        <v>9323.0</v>
      </c>
      <c r="F2" s="21">
        <v>9723.0</v>
      </c>
      <c r="G2" s="21">
        <v>9333.0</v>
      </c>
      <c r="H2" s="21">
        <v>9729.0</v>
      </c>
      <c r="I2" s="21">
        <v>9353.0</v>
      </c>
      <c r="J2" s="21">
        <v>9739.0</v>
      </c>
      <c r="K2" s="21">
        <v>9373.0</v>
      </c>
      <c r="L2" s="21">
        <v>9749.0</v>
      </c>
      <c r="M2" s="21">
        <v>9383.0</v>
      </c>
      <c r="N2" s="21">
        <v>9755.0</v>
      </c>
      <c r="O2" s="21">
        <v>9393.0</v>
      </c>
      <c r="P2" s="21">
        <v>9759.0</v>
      </c>
      <c r="Q2" s="21">
        <v>9403.0</v>
      </c>
      <c r="R2" s="21">
        <v>9763.0</v>
      </c>
      <c r="S2" s="21">
        <v>9413.0</v>
      </c>
      <c r="T2" s="21">
        <v>9767.0</v>
      </c>
      <c r="U2" s="21">
        <v>9423.0</v>
      </c>
      <c r="V2" s="21">
        <v>9771.0</v>
      </c>
      <c r="W2" s="21">
        <v>9433.0</v>
      </c>
      <c r="X2" s="21">
        <v>9775.0</v>
      </c>
      <c r="Y2" s="21">
        <v>9443.0</v>
      </c>
      <c r="Z2" s="21">
        <v>9779.0</v>
      </c>
      <c r="AA2" s="21">
        <v>9453.0</v>
      </c>
      <c r="AB2" s="21">
        <v>9783.0</v>
      </c>
      <c r="AC2" s="21">
        <v>9463.0</v>
      </c>
      <c r="AD2" s="21">
        <v>9787.0</v>
      </c>
      <c r="AE2" s="21">
        <v>9473.0</v>
      </c>
      <c r="AF2" s="21">
        <v>9791.0</v>
      </c>
    </row>
    <row r="3">
      <c r="A3" s="7" t="s">
        <v>61</v>
      </c>
      <c r="B3" s="8" t="s">
        <v>62</v>
      </c>
      <c r="C3" s="12">
        <v>0.17569444444444443</v>
      </c>
      <c r="D3" s="12"/>
      <c r="E3" s="12">
        <v>0.20347222222222222</v>
      </c>
      <c r="F3" s="12"/>
      <c r="G3" s="12">
        <v>0.27291666666666664</v>
      </c>
      <c r="H3" s="12"/>
      <c r="I3" s="12">
        <v>0.35625</v>
      </c>
      <c r="J3" s="12"/>
      <c r="K3" s="12">
        <v>0.4395833333333333</v>
      </c>
      <c r="L3" s="12"/>
      <c r="M3" s="12">
        <v>0.5229166666666667</v>
      </c>
      <c r="N3" s="12"/>
      <c r="O3" s="12">
        <v>0.5645833333333333</v>
      </c>
      <c r="P3" s="12"/>
      <c r="Q3" s="12">
        <v>0.60625</v>
      </c>
      <c r="R3" s="12"/>
      <c r="S3" s="12">
        <v>0.6479166666666667</v>
      </c>
      <c r="T3" s="12"/>
      <c r="U3" s="12">
        <v>0.6618055555555555</v>
      </c>
      <c r="V3" s="12"/>
      <c r="W3" s="12">
        <v>0.6756944444444445</v>
      </c>
      <c r="X3" s="12"/>
      <c r="Y3" s="12">
        <v>0.6895833333333333</v>
      </c>
      <c r="Z3" s="12"/>
      <c r="AA3" s="12">
        <v>0.7173611111111111</v>
      </c>
      <c r="AB3" s="12"/>
      <c r="AC3" s="12">
        <v>0.7451388888888889</v>
      </c>
      <c r="AD3" s="12"/>
      <c r="AE3" s="12">
        <v>0.8145833333333333</v>
      </c>
      <c r="AF3" s="12"/>
    </row>
    <row r="4">
      <c r="A4" s="1" t="s">
        <v>59</v>
      </c>
      <c r="B4" s="11" t="s">
        <v>60</v>
      </c>
      <c r="C4" s="12">
        <v>0.1798611111111111</v>
      </c>
      <c r="D4" s="12"/>
      <c r="E4" s="12">
        <v>0.2076388888888889</v>
      </c>
      <c r="F4" s="12"/>
      <c r="G4" s="12">
        <v>0.27708333333333335</v>
      </c>
      <c r="H4" s="12"/>
      <c r="I4" s="12">
        <v>0.36041666666666666</v>
      </c>
      <c r="J4" s="12"/>
      <c r="K4" s="12">
        <v>0.44375</v>
      </c>
      <c r="L4" s="12"/>
      <c r="M4" s="12">
        <v>0.5270833333333333</v>
      </c>
      <c r="N4" s="12"/>
      <c r="O4" s="12">
        <v>0.56875</v>
      </c>
      <c r="P4" s="12"/>
      <c r="Q4" s="12">
        <v>0.6104166666666667</v>
      </c>
      <c r="R4" s="12"/>
      <c r="S4" s="12">
        <v>0.6520833333333333</v>
      </c>
      <c r="T4" s="12"/>
      <c r="U4" s="12">
        <v>0.6659722222222222</v>
      </c>
      <c r="V4" s="12"/>
      <c r="W4" s="12">
        <v>0.6798611111111111</v>
      </c>
      <c r="X4" s="12"/>
      <c r="Y4" s="12">
        <v>0.69375</v>
      </c>
      <c r="Z4" s="12"/>
      <c r="AA4" s="12">
        <v>0.7215277777777778</v>
      </c>
      <c r="AB4" s="12"/>
      <c r="AC4" s="12">
        <v>0.7493055555555556</v>
      </c>
      <c r="AD4" s="12"/>
      <c r="AE4" s="12">
        <v>0.81875</v>
      </c>
      <c r="AF4" s="12"/>
    </row>
    <row r="5">
      <c r="A5" s="1" t="s">
        <v>87</v>
      </c>
      <c r="B5" s="31" t="s">
        <v>88</v>
      </c>
      <c r="C5" s="12">
        <v>0.18263888888888888</v>
      </c>
      <c r="D5" s="12"/>
      <c r="E5" s="12">
        <v>0.21041666666666667</v>
      </c>
      <c r="F5" s="12"/>
      <c r="G5" s="12">
        <v>0.2798611111111111</v>
      </c>
      <c r="H5" s="12"/>
      <c r="I5" s="12">
        <v>0.36319444444444443</v>
      </c>
      <c r="J5" s="12"/>
      <c r="K5" s="12">
        <v>0.4465277777777778</v>
      </c>
      <c r="L5" s="12"/>
      <c r="M5" s="12">
        <v>0.5298611111111111</v>
      </c>
      <c r="N5" s="12"/>
      <c r="O5" s="12">
        <v>0.5715277777777777</v>
      </c>
      <c r="P5" s="12"/>
      <c r="Q5" s="12">
        <v>0.6131944444444445</v>
      </c>
      <c r="R5" s="12"/>
      <c r="S5" s="12">
        <v>0.6548611111111111</v>
      </c>
      <c r="T5" s="12"/>
      <c r="U5" s="12">
        <v>0.66875</v>
      </c>
      <c r="V5" s="12"/>
      <c r="W5" s="12">
        <v>0.6826388888888889</v>
      </c>
      <c r="X5" s="12"/>
      <c r="Y5" s="12">
        <v>0.6965277777777777</v>
      </c>
      <c r="Z5" s="12"/>
      <c r="AA5" s="12">
        <v>0.7243055555555555</v>
      </c>
      <c r="AB5" s="12"/>
      <c r="AC5" s="12">
        <v>0.7520833333333333</v>
      </c>
      <c r="AD5" s="12"/>
      <c r="AE5" s="12">
        <v>0.8215277777777777</v>
      </c>
      <c r="AF5" s="12"/>
    </row>
    <row r="6">
      <c r="A6" s="1" t="s">
        <v>91</v>
      </c>
      <c r="B6" s="31" t="s">
        <v>92</v>
      </c>
      <c r="C6" s="12">
        <v>0.18541666666666667</v>
      </c>
      <c r="D6" s="12"/>
      <c r="E6" s="12">
        <v>0.21319444444444444</v>
      </c>
      <c r="F6" s="12"/>
      <c r="G6" s="12">
        <v>0.2826388888888889</v>
      </c>
      <c r="H6" s="12"/>
      <c r="I6" s="12">
        <v>0.3659722222222222</v>
      </c>
      <c r="J6" s="12"/>
      <c r="K6" s="12">
        <v>0.44930555555555557</v>
      </c>
      <c r="L6" s="12"/>
      <c r="M6" s="12">
        <v>0.5326388888888889</v>
      </c>
      <c r="N6" s="12"/>
      <c r="O6" s="12">
        <v>0.5743055555555555</v>
      </c>
      <c r="P6" s="12"/>
      <c r="Q6" s="12">
        <v>0.6159722222222223</v>
      </c>
      <c r="R6" s="12"/>
      <c r="S6" s="12">
        <v>0.6576388888888889</v>
      </c>
      <c r="T6" s="12"/>
      <c r="U6" s="12">
        <v>0.6715277777777777</v>
      </c>
      <c r="V6" s="12"/>
      <c r="W6" s="12">
        <v>0.6854166666666667</v>
      </c>
      <c r="X6" s="12"/>
      <c r="Y6" s="12">
        <v>0.6993055555555555</v>
      </c>
      <c r="Z6" s="12"/>
      <c r="AA6" s="12">
        <v>0.7270833333333333</v>
      </c>
      <c r="AB6" s="12"/>
      <c r="AC6" s="12">
        <v>0.7548611111111111</v>
      </c>
      <c r="AD6" s="12"/>
      <c r="AE6" s="12">
        <v>0.8243055555555555</v>
      </c>
      <c r="AF6" s="12"/>
    </row>
    <row r="7">
      <c r="A7" s="1" t="s">
        <v>95</v>
      </c>
      <c r="B7" s="31" t="s">
        <v>96</v>
      </c>
      <c r="C7" s="12">
        <v>0.19027777777777777</v>
      </c>
      <c r="D7" s="12"/>
      <c r="E7" s="12">
        <v>0.21805555555555556</v>
      </c>
      <c r="F7" s="12"/>
      <c r="G7" s="12">
        <v>0.2875</v>
      </c>
      <c r="H7" s="12"/>
      <c r="I7" s="12">
        <v>0.37083333333333335</v>
      </c>
      <c r="J7" s="12"/>
      <c r="K7" s="12">
        <v>0.45416666666666666</v>
      </c>
      <c r="L7" s="12"/>
      <c r="M7" s="12">
        <v>0.5375</v>
      </c>
      <c r="N7" s="12"/>
      <c r="O7" s="12">
        <v>0.5791666666666667</v>
      </c>
      <c r="P7" s="12"/>
      <c r="Q7" s="12">
        <v>0.6208333333333333</v>
      </c>
      <c r="R7" s="12"/>
      <c r="S7" s="12">
        <v>0.6625</v>
      </c>
      <c r="T7" s="12"/>
      <c r="U7" s="12">
        <v>0.6763888888888889</v>
      </c>
      <c r="V7" s="12"/>
      <c r="W7" s="12">
        <v>0.6902777777777778</v>
      </c>
      <c r="X7" s="12"/>
      <c r="Y7" s="12">
        <v>0.7041666666666667</v>
      </c>
      <c r="Z7" s="12"/>
      <c r="AA7" s="12">
        <v>0.7319444444444444</v>
      </c>
      <c r="AB7" s="12"/>
      <c r="AC7" s="12">
        <v>0.7597222222222222</v>
      </c>
      <c r="AD7" s="12"/>
      <c r="AE7" s="12">
        <v>0.8291666666666667</v>
      </c>
      <c r="AF7" s="12"/>
    </row>
    <row r="8">
      <c r="A8" s="1" t="s">
        <v>99</v>
      </c>
      <c r="B8" s="31" t="s">
        <v>100</v>
      </c>
      <c r="C8" s="12">
        <v>0.19305555555555556</v>
      </c>
      <c r="D8" s="12"/>
      <c r="E8" s="12">
        <v>0.22083333333333333</v>
      </c>
      <c r="F8" s="12"/>
      <c r="G8" s="12">
        <v>0.2902777777777778</v>
      </c>
      <c r="H8" s="12"/>
      <c r="I8" s="12">
        <v>0.3736111111111111</v>
      </c>
      <c r="J8" s="12"/>
      <c r="K8" s="12">
        <v>0.45694444444444443</v>
      </c>
      <c r="L8" s="12"/>
      <c r="M8" s="12">
        <v>0.5402777777777777</v>
      </c>
      <c r="N8" s="12"/>
      <c r="O8" s="12">
        <v>0.5819444444444445</v>
      </c>
      <c r="P8" s="12"/>
      <c r="Q8" s="12">
        <v>0.6236111111111111</v>
      </c>
      <c r="R8" s="12"/>
      <c r="S8" s="12">
        <v>0.6652777777777777</v>
      </c>
      <c r="T8" s="12"/>
      <c r="U8" s="12">
        <v>0.6791666666666667</v>
      </c>
      <c r="V8" s="12"/>
      <c r="W8" s="12">
        <v>0.6930555555555555</v>
      </c>
      <c r="X8" s="12"/>
      <c r="Y8" s="12">
        <v>0.7069444444444445</v>
      </c>
      <c r="Z8" s="12"/>
      <c r="AA8" s="12">
        <v>0.7347222222222223</v>
      </c>
      <c r="AB8" s="12"/>
      <c r="AC8" s="12">
        <v>0.7625</v>
      </c>
      <c r="AD8" s="12"/>
      <c r="AE8" s="12">
        <v>0.8319444444444445</v>
      </c>
      <c r="AF8" s="12"/>
    </row>
    <row r="9">
      <c r="A9" s="1" t="s">
        <v>101</v>
      </c>
      <c r="B9" s="31" t="s">
        <v>103</v>
      </c>
      <c r="C9" s="12">
        <v>0.1951388888888889</v>
      </c>
      <c r="D9" s="12"/>
      <c r="E9" s="12">
        <v>0.22291666666666668</v>
      </c>
      <c r="F9" s="12"/>
      <c r="G9" s="12">
        <v>0.2923611111111111</v>
      </c>
      <c r="H9" s="12"/>
      <c r="I9" s="12">
        <v>0.37569444444444444</v>
      </c>
      <c r="J9" s="12"/>
      <c r="K9" s="12">
        <v>0.45902777777777776</v>
      </c>
      <c r="L9" s="12"/>
      <c r="M9" s="12">
        <v>0.5423611111111111</v>
      </c>
      <c r="N9" s="12"/>
      <c r="O9" s="12">
        <v>0.5840277777777778</v>
      </c>
      <c r="P9" s="12"/>
      <c r="Q9" s="12">
        <v>0.6256944444444444</v>
      </c>
      <c r="R9" s="12"/>
      <c r="S9" s="12">
        <v>0.6673611111111111</v>
      </c>
      <c r="T9" s="12"/>
      <c r="U9" s="12">
        <v>0.68125</v>
      </c>
      <c r="V9" s="12"/>
      <c r="W9" s="12">
        <v>0.6951388888888889</v>
      </c>
      <c r="X9" s="12"/>
      <c r="Y9" s="12">
        <v>0.7090277777777778</v>
      </c>
      <c r="Z9" s="12"/>
      <c r="AA9" s="12">
        <v>0.7368055555555556</v>
      </c>
      <c r="AB9" s="12"/>
      <c r="AC9" s="12">
        <v>0.7645833333333333</v>
      </c>
      <c r="AD9" s="12"/>
      <c r="AE9" s="12">
        <v>0.8340277777777778</v>
      </c>
      <c r="AF9" s="12"/>
    </row>
    <row r="10">
      <c r="A10" s="1" t="s">
        <v>105</v>
      </c>
      <c r="B10" s="31" t="s">
        <v>106</v>
      </c>
      <c r="C10" s="12">
        <v>0.19930555555555557</v>
      </c>
      <c r="D10" s="12"/>
      <c r="E10" s="12">
        <v>0.22708333333333333</v>
      </c>
      <c r="F10" s="12"/>
      <c r="G10" s="12">
        <v>0.2965277777777778</v>
      </c>
      <c r="H10" s="12"/>
      <c r="I10" s="12">
        <v>0.3798611111111111</v>
      </c>
      <c r="J10" s="12"/>
      <c r="K10" s="12">
        <v>0.46319444444444446</v>
      </c>
      <c r="L10" s="12"/>
      <c r="M10" s="12">
        <v>0.5465277777777777</v>
      </c>
      <c r="N10" s="12"/>
      <c r="O10" s="12">
        <v>0.5881944444444445</v>
      </c>
      <c r="P10" s="12"/>
      <c r="Q10" s="12">
        <v>0.6298611111111111</v>
      </c>
      <c r="R10" s="12"/>
      <c r="S10" s="12">
        <v>0.6715277777777777</v>
      </c>
      <c r="T10" s="12"/>
      <c r="U10" s="12">
        <v>0.6854166666666667</v>
      </c>
      <c r="V10" s="12"/>
      <c r="W10" s="12">
        <v>0.6993055555555555</v>
      </c>
      <c r="X10" s="12"/>
      <c r="Y10" s="12">
        <v>0.7131944444444445</v>
      </c>
      <c r="Z10" s="12"/>
      <c r="AA10" s="12">
        <v>0.7409722222222223</v>
      </c>
      <c r="AB10" s="12"/>
      <c r="AC10" s="12">
        <v>0.76875</v>
      </c>
      <c r="AD10" s="12"/>
      <c r="AE10" s="12">
        <v>0.8381944444444445</v>
      </c>
      <c r="AF10" s="12"/>
    </row>
    <row r="11">
      <c r="A11" s="1" t="s">
        <v>107</v>
      </c>
      <c r="B11" s="31" t="s">
        <v>109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1" t="s">
        <v>111</v>
      </c>
      <c r="B12" s="15" t="s">
        <v>112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1" t="s">
        <v>108</v>
      </c>
      <c r="B13" s="11" t="s">
        <v>110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1" t="s">
        <v>102</v>
      </c>
      <c r="B14" s="35" t="s">
        <v>104</v>
      </c>
      <c r="C14" s="12">
        <v>0.2048611111111111</v>
      </c>
      <c r="D14" s="12">
        <v>0.20902777777777778</v>
      </c>
      <c r="E14" s="12">
        <v>0.2326388888888889</v>
      </c>
      <c r="F14" s="12">
        <v>0.23472222222222222</v>
      </c>
      <c r="G14" s="12">
        <v>0.3020833333333333</v>
      </c>
      <c r="H14" s="12">
        <v>0.3138888888888889</v>
      </c>
      <c r="I14" s="12">
        <v>0.3854166666666667</v>
      </c>
      <c r="J14" s="12">
        <v>0.3972222222222222</v>
      </c>
      <c r="K14" s="12">
        <v>0.46875</v>
      </c>
      <c r="L14" s="12">
        <v>0.48055555555555557</v>
      </c>
      <c r="M14" s="12">
        <v>0.5520833333333334</v>
      </c>
      <c r="N14" s="12">
        <v>0.5638888888888889</v>
      </c>
      <c r="O14" s="12">
        <v>0.59375</v>
      </c>
      <c r="P14" s="12">
        <v>0.6055555555555555</v>
      </c>
      <c r="Q14" s="12">
        <v>0.6354166666666666</v>
      </c>
      <c r="R14" s="12">
        <v>0.6472222222222223</v>
      </c>
      <c r="S14" s="12">
        <v>0.6770833333333334</v>
      </c>
      <c r="T14" s="12">
        <v>0.68125</v>
      </c>
      <c r="U14" s="12">
        <v>0.6909722222222222</v>
      </c>
      <c r="V14" s="12">
        <v>0.6993055555555555</v>
      </c>
      <c r="W14" s="12">
        <v>0.7048611111111112</v>
      </c>
      <c r="X14" s="12">
        <v>0.70625</v>
      </c>
      <c r="Y14" s="12">
        <v>0.71875</v>
      </c>
      <c r="Z14" s="12">
        <v>0.7201388888888889</v>
      </c>
      <c r="AA14" s="12">
        <v>0.7465277777777778</v>
      </c>
      <c r="AB14" s="12">
        <v>0.7506944444444444</v>
      </c>
      <c r="AC14" s="12">
        <v>0.7743055555555556</v>
      </c>
      <c r="AD14" s="12">
        <v>0.7763888888888889</v>
      </c>
      <c r="AE14" s="12">
        <v>0.84375</v>
      </c>
      <c r="AF14" s="12">
        <v>0.8458333333333333</v>
      </c>
    </row>
    <row r="15">
      <c r="A15" s="1" t="s">
        <v>97</v>
      </c>
      <c r="B15" s="35" t="s">
        <v>98</v>
      </c>
      <c r="C15" s="12">
        <v>0.2076388888888889</v>
      </c>
      <c r="D15" s="12"/>
      <c r="E15" s="12">
        <v>0.23541666666666666</v>
      </c>
      <c r="F15" s="12"/>
      <c r="G15" s="12">
        <v>0.30486111111111114</v>
      </c>
      <c r="H15" s="12"/>
      <c r="I15" s="12">
        <v>0.38819444444444445</v>
      </c>
      <c r="J15" s="12"/>
      <c r="K15" s="12">
        <v>0.47152777777777777</v>
      </c>
      <c r="L15" s="12"/>
      <c r="M15" s="12">
        <v>0.5548611111111111</v>
      </c>
      <c r="N15" s="12"/>
      <c r="O15" s="12">
        <v>0.5965277777777778</v>
      </c>
      <c r="P15" s="12"/>
      <c r="Q15" s="12">
        <v>0.6381944444444444</v>
      </c>
      <c r="R15" s="12"/>
      <c r="S15" s="12">
        <v>0.6798611111111111</v>
      </c>
      <c r="T15" s="12"/>
      <c r="U15" s="12">
        <v>0.69375</v>
      </c>
      <c r="V15" s="12"/>
      <c r="W15" s="12">
        <v>0.7076388888888889</v>
      </c>
      <c r="X15" s="12"/>
      <c r="Y15" s="12">
        <v>0.7215277777777778</v>
      </c>
      <c r="Z15" s="12"/>
      <c r="AA15" s="12">
        <v>0.7493055555555556</v>
      </c>
      <c r="AB15" s="12"/>
      <c r="AC15" s="12">
        <v>0.7770833333333333</v>
      </c>
      <c r="AD15" s="12"/>
      <c r="AE15" s="12">
        <v>0.8465277777777778</v>
      </c>
      <c r="AF15" s="12"/>
    </row>
    <row r="16">
      <c r="A16" s="1" t="s">
        <v>93</v>
      </c>
      <c r="B16" s="13" t="s">
        <v>94</v>
      </c>
      <c r="C16" s="12">
        <v>0.21041666666666667</v>
      </c>
      <c r="D16" s="12"/>
      <c r="E16" s="12">
        <v>0.23819444444444443</v>
      </c>
      <c r="F16" s="12"/>
      <c r="G16" s="12">
        <v>0.3076388888888889</v>
      </c>
      <c r="H16" s="12"/>
      <c r="I16" s="12">
        <v>0.3909722222222222</v>
      </c>
      <c r="J16" s="12"/>
      <c r="K16" s="12">
        <v>0.47430555555555554</v>
      </c>
      <c r="L16" s="12"/>
      <c r="M16" s="12">
        <v>0.5576388888888889</v>
      </c>
      <c r="N16" s="12"/>
      <c r="O16" s="12">
        <v>0.5993055555555555</v>
      </c>
      <c r="P16" s="12"/>
      <c r="Q16" s="12">
        <v>0.6409722222222223</v>
      </c>
      <c r="R16" s="12"/>
      <c r="S16" s="12">
        <v>0.6826388888888889</v>
      </c>
      <c r="T16" s="12"/>
      <c r="U16" s="12">
        <v>0.6965277777777777</v>
      </c>
      <c r="V16" s="12"/>
      <c r="W16" s="12">
        <v>0.7104166666666667</v>
      </c>
      <c r="X16" s="12"/>
      <c r="Y16" s="12">
        <v>0.7243055555555555</v>
      </c>
      <c r="Z16" s="12"/>
      <c r="AA16" s="12">
        <v>0.7520833333333333</v>
      </c>
      <c r="AB16" s="12"/>
      <c r="AC16" s="12">
        <v>0.7798611111111111</v>
      </c>
      <c r="AD16" s="12"/>
      <c r="AE16" s="12">
        <v>0.8493055555555555</v>
      </c>
      <c r="AF16" s="12"/>
    </row>
    <row r="17">
      <c r="A17" s="1" t="s">
        <v>89</v>
      </c>
      <c r="B17" s="13" t="s">
        <v>90</v>
      </c>
      <c r="C17" s="12"/>
      <c r="D17" s="12">
        <v>0.21319444444444444</v>
      </c>
      <c r="E17" s="12"/>
      <c r="F17" s="12">
        <v>0.2388888888888889</v>
      </c>
      <c r="G17" s="12"/>
      <c r="H17" s="12">
        <v>0.31805555555555554</v>
      </c>
      <c r="I17" s="12"/>
      <c r="J17" s="12">
        <v>0.4013888888888889</v>
      </c>
      <c r="K17" s="12"/>
      <c r="L17" s="12">
        <v>0.4847222222222222</v>
      </c>
      <c r="M17" s="12"/>
      <c r="N17" s="12">
        <v>0.5680555555555555</v>
      </c>
      <c r="O17" s="12"/>
      <c r="P17" s="12">
        <v>0.6097222222222223</v>
      </c>
      <c r="Q17" s="12"/>
      <c r="R17" s="12">
        <v>0.6513888888888889</v>
      </c>
      <c r="S17" s="12"/>
      <c r="T17" s="12">
        <v>0.6854166666666667</v>
      </c>
      <c r="U17" s="12"/>
      <c r="V17" s="12">
        <v>0.7034722222222223</v>
      </c>
      <c r="W17" s="12"/>
      <c r="X17" s="12">
        <v>0.7104166666666667</v>
      </c>
      <c r="Y17" s="12"/>
      <c r="Z17" s="12">
        <v>0.7243055555555555</v>
      </c>
      <c r="AA17" s="12"/>
      <c r="AB17" s="12">
        <v>0.7548611111111111</v>
      </c>
      <c r="AC17" s="12"/>
      <c r="AD17" s="12">
        <v>0.7805555555555556</v>
      </c>
      <c r="AE17" s="12"/>
      <c r="AF17" s="12">
        <v>0.85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>
      <c r="A22" s="16"/>
      <c r="B22" s="19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6"/>
      <c r="P22" s="19"/>
      <c r="Q22" s="36"/>
      <c r="R22" s="36"/>
      <c r="S22" s="36"/>
      <c r="T22" s="19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</row>
    <row r="23">
      <c r="A23" s="16"/>
      <c r="B23" s="19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6"/>
      <c r="P23" s="19"/>
      <c r="Q23" s="36"/>
      <c r="R23" s="36"/>
      <c r="S23" s="36"/>
      <c r="T23" s="19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</row>
    <row r="24">
      <c r="A24" s="16"/>
      <c r="B24" s="19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6"/>
      <c r="P24" s="19"/>
      <c r="Q24" s="36"/>
      <c r="R24" s="36"/>
      <c r="S24" s="36"/>
      <c r="T24" s="19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</row>
    <row r="25">
      <c r="A25" s="16"/>
      <c r="B25" s="19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6"/>
      <c r="P25" s="19"/>
      <c r="Q25" s="36"/>
      <c r="R25" s="36"/>
      <c r="S25" s="36"/>
      <c r="T25" s="19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>
      <c r="A26" s="16"/>
      <c r="B26" s="19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6"/>
      <c r="P26" s="19"/>
      <c r="Q26" s="36"/>
      <c r="R26" s="36"/>
      <c r="S26" s="36"/>
      <c r="T26" s="19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>
      <c r="A27" s="16"/>
      <c r="B27" s="19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6"/>
      <c r="P27" s="19"/>
      <c r="Q27" s="36"/>
      <c r="R27" s="36"/>
      <c r="S27" s="36"/>
      <c r="T27" s="19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>
      <c r="A28" s="16"/>
      <c r="B28" s="19"/>
      <c r="C28" s="38"/>
      <c r="D28" s="32"/>
      <c r="E28" s="32"/>
      <c r="F28" s="32"/>
      <c r="G28" s="32"/>
      <c r="H28" s="32"/>
      <c r="I28" s="32"/>
      <c r="J28" s="36"/>
      <c r="K28" s="36"/>
      <c r="L28" s="36"/>
      <c r="M28" s="36"/>
      <c r="N28" s="36"/>
      <c r="O28" s="36"/>
      <c r="P28" s="19"/>
      <c r="Q28" s="36"/>
      <c r="R28" s="36"/>
      <c r="S28" s="36"/>
      <c r="T28" s="19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>
      <c r="A29" s="16"/>
      <c r="B29" s="19"/>
      <c r="C29" s="38"/>
      <c r="D29" s="38"/>
      <c r="E29" s="38"/>
      <c r="F29" s="38"/>
      <c r="G29" s="38"/>
      <c r="H29" s="38"/>
      <c r="I29" s="38"/>
      <c r="J29" s="36"/>
      <c r="K29" s="36"/>
      <c r="L29" s="36"/>
      <c r="M29" s="36"/>
      <c r="N29" s="36"/>
      <c r="O29" s="36"/>
      <c r="P29" s="19"/>
      <c r="Q29" s="36"/>
      <c r="R29" s="36"/>
      <c r="S29" s="36"/>
      <c r="T29" s="19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>
      <c r="A30" s="16"/>
      <c r="B30" s="36"/>
      <c r="C30" s="38"/>
      <c r="D30" s="38"/>
      <c r="E30" s="38"/>
      <c r="F30" s="38"/>
      <c r="G30" s="38"/>
      <c r="H30" s="38"/>
      <c r="I30" s="38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>
      <c r="A31" s="16"/>
      <c r="B31" s="36"/>
      <c r="C31" s="38"/>
      <c r="D31" s="38"/>
      <c r="E31" s="38"/>
      <c r="F31" s="38"/>
      <c r="G31" s="38"/>
      <c r="H31" s="38"/>
      <c r="I31" s="38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>
      <c r="A32" s="16"/>
      <c r="B32" s="37"/>
      <c r="C32" s="32"/>
      <c r="D32" s="32"/>
      <c r="E32" s="32"/>
      <c r="F32" s="32"/>
      <c r="G32" s="32"/>
      <c r="H32" s="32"/>
      <c r="I32" s="32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6"/>
      <c r="B34" s="19"/>
      <c r="C34" s="32"/>
      <c r="D34" s="32"/>
      <c r="E34" s="32"/>
      <c r="F34" s="32"/>
      <c r="G34" s="32"/>
      <c r="H34" s="32"/>
      <c r="I34" s="32"/>
      <c r="J34" s="36"/>
      <c r="K34" s="36"/>
      <c r="L34" s="36"/>
      <c r="M34" s="36"/>
      <c r="N34" s="36"/>
      <c r="O34" s="36"/>
      <c r="P34" s="19"/>
      <c r="Q34" s="36"/>
      <c r="R34" s="36"/>
      <c r="S34" s="36"/>
      <c r="T34" s="19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>
      <c r="A35" s="16"/>
      <c r="B35" s="19"/>
      <c r="C35" s="38"/>
      <c r="D35" s="38"/>
      <c r="E35" s="38"/>
      <c r="F35" s="38"/>
      <c r="G35" s="38"/>
      <c r="H35" s="38"/>
      <c r="I35" s="38"/>
      <c r="J35" s="36"/>
      <c r="K35" s="36"/>
      <c r="L35" s="36"/>
      <c r="M35" s="36"/>
      <c r="N35" s="36"/>
      <c r="O35" s="36"/>
      <c r="P35" s="19"/>
      <c r="Q35" s="36"/>
      <c r="R35" s="36"/>
      <c r="S35" s="36"/>
      <c r="T35" s="19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>
      <c r="A36" s="16"/>
      <c r="B36" s="3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36"/>
      <c r="Q36" s="19"/>
      <c r="R36" s="19"/>
      <c r="S36" s="19"/>
      <c r="T36" s="36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>
      <c r="A37" s="32"/>
      <c r="B37" s="16"/>
      <c r="C37" s="16"/>
      <c r="D37" s="16"/>
      <c r="E37" s="16"/>
      <c r="F37" s="16"/>
      <c r="G37" s="16"/>
      <c r="H37" s="16"/>
      <c r="I37" s="16"/>
    </row>
    <row r="38">
      <c r="A38" s="16"/>
      <c r="B38" s="16"/>
      <c r="C38" s="16"/>
      <c r="D38" s="16"/>
      <c r="E38" s="16"/>
      <c r="F38" s="16"/>
      <c r="G38" s="16"/>
      <c r="H38" s="16"/>
      <c r="I38" s="16"/>
    </row>
    <row r="39">
      <c r="A39" s="18"/>
      <c r="B39" s="19"/>
      <c r="C39" s="19"/>
      <c r="D39" s="19"/>
      <c r="E39" s="19"/>
      <c r="F39" s="19"/>
      <c r="G39" s="19"/>
      <c r="H39" s="19"/>
      <c r="I39" s="19"/>
    </row>
    <row r="40">
      <c r="A40" s="18"/>
      <c r="B40" s="16"/>
      <c r="C40" s="16"/>
      <c r="D40" s="16"/>
      <c r="E40" s="16"/>
      <c r="F40" s="16"/>
      <c r="G40" s="16"/>
      <c r="H40" s="16"/>
      <c r="I40" s="16"/>
    </row>
    <row r="41">
      <c r="A41" s="18"/>
      <c r="B41" s="19"/>
      <c r="C41" s="19"/>
      <c r="D41" s="19"/>
      <c r="E41" s="19"/>
      <c r="F41" s="19"/>
      <c r="G41" s="19"/>
      <c r="H41" s="19"/>
      <c r="I41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'DURBN-to-BRIDG_Weekday'!B1</f>
        <v>46230</v>
      </c>
      <c r="C1" s="1" t="str">
        <f>'DURBN-to-BRIDG_Weekday'!C1</f>
        <v>Z2</v>
      </c>
      <c r="D1" s="1"/>
      <c r="E1" s="1"/>
      <c r="F1" s="1"/>
      <c r="G1" s="1"/>
      <c r="H1" s="1"/>
      <c r="I1" s="1"/>
      <c r="J1" s="1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21">
        <v>9712.0</v>
      </c>
      <c r="D2" s="21">
        <v>9314.0</v>
      </c>
      <c r="E2" s="21">
        <v>9716.0</v>
      </c>
      <c r="F2" s="21">
        <v>9324.0</v>
      </c>
      <c r="G2" s="21">
        <v>9720.0</v>
      </c>
      <c r="H2" s="21">
        <v>9334.0</v>
      </c>
      <c r="I2" s="21">
        <v>9724.0</v>
      </c>
      <c r="J2" s="21">
        <v>9344.0</v>
      </c>
      <c r="K2" s="21">
        <v>9728.0</v>
      </c>
      <c r="L2" s="21">
        <v>9354.0</v>
      </c>
      <c r="M2" s="21">
        <v>9732.0</v>
      </c>
      <c r="N2" s="21">
        <v>9364.0</v>
      </c>
      <c r="O2" s="21">
        <v>9736.0</v>
      </c>
      <c r="P2" s="21">
        <v>9374.0</v>
      </c>
      <c r="Q2" s="21">
        <v>9742.0</v>
      </c>
      <c r="R2" s="21">
        <v>9384.0</v>
      </c>
      <c r="S2" s="21">
        <v>9748.0</v>
      </c>
      <c r="T2" s="21">
        <v>9404.0</v>
      </c>
      <c r="U2" s="21">
        <v>9754.0</v>
      </c>
      <c r="V2" s="21">
        <v>9414.0</v>
      </c>
      <c r="W2" s="21">
        <v>9758.0</v>
      </c>
      <c r="X2" s="21">
        <v>9424.0</v>
      </c>
      <c r="Y2" s="21">
        <v>9762.0</v>
      </c>
      <c r="Z2" s="21">
        <v>9434.0</v>
      </c>
      <c r="AA2" s="21">
        <v>9772.0</v>
      </c>
      <c r="AB2" s="21">
        <v>9444.0</v>
      </c>
      <c r="AC2" s="21">
        <v>9776.0</v>
      </c>
      <c r="AD2" s="21">
        <v>9454.0</v>
      </c>
      <c r="AE2" s="21">
        <v>9782.0</v>
      </c>
      <c r="AF2" s="21">
        <v>9464.0</v>
      </c>
    </row>
    <row r="3">
      <c r="A3" s="7" t="s">
        <v>89</v>
      </c>
      <c r="B3" s="8" t="s">
        <v>90</v>
      </c>
      <c r="C3" s="12">
        <v>0.17222222222222222</v>
      </c>
      <c r="D3" s="20"/>
      <c r="E3" s="12">
        <v>0.2</v>
      </c>
      <c r="F3" s="20"/>
      <c r="G3" s="12">
        <v>0.22777777777777777</v>
      </c>
      <c r="H3" s="20"/>
      <c r="I3" s="12">
        <v>0.24166666666666667</v>
      </c>
      <c r="J3" s="20"/>
      <c r="K3" s="12">
        <v>0.25555555555555554</v>
      </c>
      <c r="L3" s="20"/>
      <c r="M3" s="12">
        <v>0.26944444444444443</v>
      </c>
      <c r="N3" s="20"/>
      <c r="O3" s="12">
        <v>0.30416666666666664</v>
      </c>
      <c r="P3" s="20"/>
      <c r="Q3" s="12">
        <v>0.3875</v>
      </c>
      <c r="R3" s="20"/>
      <c r="S3" s="12">
        <v>0.4708333333333333</v>
      </c>
      <c r="T3" s="20"/>
      <c r="U3" s="12">
        <v>0.5541666666666667</v>
      </c>
      <c r="V3" s="20"/>
      <c r="W3" s="12">
        <v>0.5958333333333333</v>
      </c>
      <c r="X3" s="20"/>
      <c r="Y3" s="12">
        <v>0.6375</v>
      </c>
      <c r="Z3" s="20"/>
      <c r="AA3" s="12">
        <v>0.7111111111111111</v>
      </c>
      <c r="AB3" s="20"/>
      <c r="AC3" s="12">
        <v>0.7416666666666667</v>
      </c>
      <c r="AD3" s="20"/>
      <c r="AE3" s="12">
        <v>0.7805555555555556</v>
      </c>
      <c r="AF3" s="20"/>
    </row>
    <row r="4">
      <c r="A4" s="1" t="s">
        <v>93</v>
      </c>
      <c r="B4" s="11" t="s">
        <v>94</v>
      </c>
      <c r="C4" s="20"/>
      <c r="D4" s="12">
        <v>0.175</v>
      </c>
      <c r="E4" s="20"/>
      <c r="F4" s="12">
        <v>0.20277777777777778</v>
      </c>
      <c r="G4" s="20"/>
      <c r="H4" s="12">
        <v>0.23055555555555557</v>
      </c>
      <c r="I4" s="20"/>
      <c r="J4" s="12">
        <v>0.24444444444444444</v>
      </c>
      <c r="K4" s="20"/>
      <c r="L4" s="12">
        <v>0.25833333333333336</v>
      </c>
      <c r="M4" s="20"/>
      <c r="N4" s="12">
        <v>0.2722222222222222</v>
      </c>
      <c r="O4" s="20"/>
      <c r="P4" s="12">
        <v>0.3138888888888889</v>
      </c>
      <c r="Q4" s="20"/>
      <c r="R4" s="12">
        <v>0.3972222222222222</v>
      </c>
      <c r="S4" s="20"/>
      <c r="T4" s="12">
        <v>0.48055555555555557</v>
      </c>
      <c r="U4" s="20"/>
      <c r="V4" s="12">
        <v>0.5638888888888889</v>
      </c>
      <c r="W4" s="20"/>
      <c r="X4" s="12">
        <v>0.6055555555555555</v>
      </c>
      <c r="Y4" s="20"/>
      <c r="Z4" s="12">
        <v>0.6472222222222223</v>
      </c>
      <c r="AA4" s="20"/>
      <c r="AB4" s="12">
        <v>0.7166666666666667</v>
      </c>
      <c r="AC4" s="20"/>
      <c r="AD4" s="12">
        <v>0.7444444444444445</v>
      </c>
      <c r="AE4" s="20"/>
      <c r="AF4" s="12">
        <v>0.7861111111111111</v>
      </c>
    </row>
    <row r="5">
      <c r="A5" s="1" t="s">
        <v>97</v>
      </c>
      <c r="B5" s="11" t="s">
        <v>98</v>
      </c>
      <c r="C5" s="20"/>
      <c r="D5" s="12">
        <v>0.17708333333333334</v>
      </c>
      <c r="E5" s="20"/>
      <c r="F5" s="12">
        <v>0.2048611111111111</v>
      </c>
      <c r="G5" s="20"/>
      <c r="H5" s="12">
        <v>0.2326388888888889</v>
      </c>
      <c r="I5" s="20"/>
      <c r="J5" s="12">
        <v>0.2465277777777778</v>
      </c>
      <c r="K5" s="20"/>
      <c r="L5" s="12">
        <v>0.2604166666666667</v>
      </c>
      <c r="M5" s="20"/>
      <c r="N5" s="12">
        <v>0.2743055555555556</v>
      </c>
      <c r="O5" s="20"/>
      <c r="P5" s="12">
        <v>0.3159722222222222</v>
      </c>
      <c r="Q5" s="20"/>
      <c r="R5" s="12">
        <v>0.3993055555555556</v>
      </c>
      <c r="S5" s="20"/>
      <c r="T5" s="12">
        <v>0.4826388888888889</v>
      </c>
      <c r="U5" s="20"/>
      <c r="V5" s="12">
        <v>0.5659722222222222</v>
      </c>
      <c r="W5" s="20"/>
      <c r="X5" s="12">
        <v>0.6076388888888888</v>
      </c>
      <c r="Y5" s="20"/>
      <c r="Z5" s="12">
        <v>0.6493055555555556</v>
      </c>
      <c r="AA5" s="20"/>
      <c r="AB5" s="12">
        <v>0.71875</v>
      </c>
      <c r="AC5" s="20"/>
      <c r="AD5" s="12">
        <v>0.7465277777777778</v>
      </c>
      <c r="AE5" s="20"/>
      <c r="AF5" s="12">
        <v>0.7881944444444444</v>
      </c>
    </row>
    <row r="6">
      <c r="A6" s="1" t="s">
        <v>102</v>
      </c>
      <c r="B6" s="11" t="s">
        <v>104</v>
      </c>
      <c r="C6" s="12">
        <v>0.1763888888888889</v>
      </c>
      <c r="D6" s="12">
        <v>0.18055555555555555</v>
      </c>
      <c r="E6" s="12">
        <v>0.20416666666666666</v>
      </c>
      <c r="F6" s="12">
        <v>0.20833333333333334</v>
      </c>
      <c r="G6" s="12">
        <v>0.23194444444444445</v>
      </c>
      <c r="H6" s="12">
        <v>0.2361111111111111</v>
      </c>
      <c r="I6" s="12">
        <v>0.24583333333333332</v>
      </c>
      <c r="J6" s="12">
        <v>0.25</v>
      </c>
      <c r="K6" s="12">
        <v>0.25972222222222224</v>
      </c>
      <c r="L6" s="12">
        <v>0.2638888888888889</v>
      </c>
      <c r="M6" s="12">
        <v>0.27361111111111114</v>
      </c>
      <c r="N6" s="12">
        <v>0.2777777777777778</v>
      </c>
      <c r="O6" s="12">
        <v>0.30833333333333335</v>
      </c>
      <c r="P6" s="12">
        <v>0.3194444444444444</v>
      </c>
      <c r="Q6" s="12">
        <v>0.39166666666666666</v>
      </c>
      <c r="R6" s="12">
        <v>0.4027777777777778</v>
      </c>
      <c r="S6" s="12">
        <v>0.475</v>
      </c>
      <c r="T6" s="12">
        <v>0.4861111111111111</v>
      </c>
      <c r="U6" s="12">
        <v>0.5583333333333333</v>
      </c>
      <c r="V6" s="12">
        <v>0.5694444444444444</v>
      </c>
      <c r="W6" s="12">
        <v>0.6</v>
      </c>
      <c r="X6" s="12">
        <v>0.6111111111111112</v>
      </c>
      <c r="Y6" s="12">
        <v>0.6416666666666667</v>
      </c>
      <c r="Z6" s="12">
        <v>0.6527777777777778</v>
      </c>
      <c r="AA6" s="12">
        <v>0.7152777777777778</v>
      </c>
      <c r="AB6" s="12">
        <v>0.7222222222222222</v>
      </c>
      <c r="AC6" s="12">
        <v>0.7458333333333333</v>
      </c>
      <c r="AD6" s="12">
        <v>0.75</v>
      </c>
      <c r="AE6" s="12">
        <v>0.7847222222222222</v>
      </c>
      <c r="AF6" s="12">
        <v>0.7916666666666666</v>
      </c>
    </row>
    <row r="7">
      <c r="A7" s="1" t="s">
        <v>108</v>
      </c>
      <c r="B7" s="11" t="s">
        <v>110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1" t="s">
        <v>111</v>
      </c>
      <c r="B8" s="11" t="s">
        <v>112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1" t="s">
        <v>107</v>
      </c>
      <c r="B9" s="11" t="s">
        <v>109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1" t="s">
        <v>105</v>
      </c>
      <c r="B10" s="11" t="s">
        <v>106</v>
      </c>
      <c r="C10" s="20"/>
      <c r="D10" s="12">
        <v>0.18680555555555556</v>
      </c>
      <c r="E10" s="20"/>
      <c r="F10" s="12">
        <v>0.21458333333333332</v>
      </c>
      <c r="G10" s="20"/>
      <c r="H10" s="12">
        <v>0.2423611111111111</v>
      </c>
      <c r="I10" s="20"/>
      <c r="J10" s="12">
        <v>0.25625</v>
      </c>
      <c r="K10" s="20"/>
      <c r="L10" s="12">
        <v>0.2701388888888889</v>
      </c>
      <c r="M10" s="20"/>
      <c r="N10" s="12">
        <v>0.28402777777777777</v>
      </c>
      <c r="O10" s="20"/>
      <c r="P10" s="12">
        <v>0.32569444444444445</v>
      </c>
      <c r="Q10" s="20"/>
      <c r="R10" s="12">
        <v>0.40902777777777777</v>
      </c>
      <c r="S10" s="20"/>
      <c r="T10" s="12">
        <v>0.49236111111111114</v>
      </c>
      <c r="U10" s="20"/>
      <c r="V10" s="12">
        <v>0.5756944444444444</v>
      </c>
      <c r="W10" s="20"/>
      <c r="X10" s="12">
        <v>0.6173611111111111</v>
      </c>
      <c r="Y10" s="20"/>
      <c r="Z10" s="12">
        <v>0.6590277777777778</v>
      </c>
      <c r="AA10" s="20"/>
      <c r="AB10" s="12">
        <v>0.7284722222222222</v>
      </c>
      <c r="AC10" s="20"/>
      <c r="AD10" s="12">
        <v>0.75625</v>
      </c>
      <c r="AE10" s="20"/>
      <c r="AF10" s="12">
        <v>0.7979166666666667</v>
      </c>
    </row>
    <row r="11">
      <c r="A11" s="1" t="s">
        <v>101</v>
      </c>
      <c r="B11" s="11" t="s">
        <v>103</v>
      </c>
      <c r="C11" s="20"/>
      <c r="D11" s="12">
        <v>0.19027777777777777</v>
      </c>
      <c r="E11" s="20"/>
      <c r="F11" s="12">
        <v>0.21805555555555556</v>
      </c>
      <c r="G11" s="20"/>
      <c r="H11" s="12">
        <v>0.24583333333333332</v>
      </c>
      <c r="I11" s="20"/>
      <c r="J11" s="12">
        <v>0.25972222222222224</v>
      </c>
      <c r="K11" s="20"/>
      <c r="L11" s="12">
        <v>0.27361111111111114</v>
      </c>
      <c r="M11" s="20"/>
      <c r="N11" s="12">
        <v>0.2875</v>
      </c>
      <c r="O11" s="20"/>
      <c r="P11" s="12">
        <v>0.32916666666666666</v>
      </c>
      <c r="Q11" s="20"/>
      <c r="R11" s="12">
        <v>0.4125</v>
      </c>
      <c r="S11" s="20"/>
      <c r="T11" s="12">
        <v>0.49583333333333335</v>
      </c>
      <c r="U11" s="20"/>
      <c r="V11" s="12">
        <v>0.5791666666666667</v>
      </c>
      <c r="W11" s="20"/>
      <c r="X11" s="12">
        <v>0.6208333333333333</v>
      </c>
      <c r="Y11" s="20"/>
      <c r="Z11" s="12">
        <v>0.6625</v>
      </c>
      <c r="AA11" s="20"/>
      <c r="AB11" s="12">
        <v>0.7319444444444444</v>
      </c>
      <c r="AC11" s="20"/>
      <c r="AD11" s="12">
        <v>0.7597222222222222</v>
      </c>
      <c r="AE11" s="20"/>
      <c r="AF11" s="12">
        <v>0.8013888888888889</v>
      </c>
    </row>
    <row r="12">
      <c r="A12" s="1" t="s">
        <v>99</v>
      </c>
      <c r="B12" s="11" t="s">
        <v>100</v>
      </c>
      <c r="C12" s="20"/>
      <c r="D12" s="12">
        <v>0.19305555555555556</v>
      </c>
      <c r="E12" s="20"/>
      <c r="F12" s="12">
        <v>0.22083333333333333</v>
      </c>
      <c r="G12" s="20"/>
      <c r="H12" s="12">
        <v>0.24861111111111112</v>
      </c>
      <c r="I12" s="20"/>
      <c r="J12" s="12">
        <v>0.2625</v>
      </c>
      <c r="K12" s="20"/>
      <c r="L12" s="12">
        <v>0.2763888888888889</v>
      </c>
      <c r="M12" s="20"/>
      <c r="N12" s="12">
        <v>0.2902777777777778</v>
      </c>
      <c r="O12" s="20"/>
      <c r="P12" s="12">
        <v>0.33194444444444443</v>
      </c>
      <c r="Q12" s="20"/>
      <c r="R12" s="12">
        <v>0.4152777777777778</v>
      </c>
      <c r="S12" s="20"/>
      <c r="T12" s="12">
        <v>0.4986111111111111</v>
      </c>
      <c r="U12" s="20"/>
      <c r="V12" s="12">
        <v>0.5819444444444445</v>
      </c>
      <c r="W12" s="20"/>
      <c r="X12" s="12">
        <v>0.6236111111111111</v>
      </c>
      <c r="Y12" s="20"/>
      <c r="Z12" s="12">
        <v>0.6652777777777777</v>
      </c>
      <c r="AA12" s="20"/>
      <c r="AB12" s="12">
        <v>0.7347222222222223</v>
      </c>
      <c r="AC12" s="20"/>
      <c r="AD12" s="12">
        <v>0.7625</v>
      </c>
      <c r="AE12" s="20"/>
      <c r="AF12" s="12">
        <v>0.8041666666666667</v>
      </c>
    </row>
    <row r="13">
      <c r="A13" s="1" t="s">
        <v>95</v>
      </c>
      <c r="B13" s="11" t="s">
        <v>96</v>
      </c>
      <c r="C13" s="20"/>
      <c r="D13" s="12">
        <v>0.1951388888888889</v>
      </c>
      <c r="E13" s="20"/>
      <c r="F13" s="12">
        <v>0.22291666666666668</v>
      </c>
      <c r="G13" s="20"/>
      <c r="H13" s="12">
        <v>0.25069444444444444</v>
      </c>
      <c r="I13" s="20"/>
      <c r="J13" s="12">
        <v>0.26458333333333334</v>
      </c>
      <c r="K13" s="20"/>
      <c r="L13" s="12">
        <v>0.27847222222222223</v>
      </c>
      <c r="M13" s="20"/>
      <c r="N13" s="12">
        <v>0.2923611111111111</v>
      </c>
      <c r="O13" s="20"/>
      <c r="P13" s="12">
        <v>0.33402777777777776</v>
      </c>
      <c r="Q13" s="20"/>
      <c r="R13" s="12">
        <v>0.4173611111111111</v>
      </c>
      <c r="S13" s="20"/>
      <c r="T13" s="12">
        <v>0.5006944444444444</v>
      </c>
      <c r="U13" s="20"/>
      <c r="V13" s="12">
        <v>0.5840277777777778</v>
      </c>
      <c r="W13" s="20"/>
      <c r="X13" s="12">
        <v>0.6256944444444444</v>
      </c>
      <c r="Y13" s="20"/>
      <c r="Z13" s="12">
        <v>0.6673611111111111</v>
      </c>
      <c r="AA13" s="20"/>
      <c r="AB13" s="12">
        <v>0.7368055555555556</v>
      </c>
      <c r="AC13" s="20"/>
      <c r="AD13" s="12">
        <v>0.7645833333333333</v>
      </c>
      <c r="AE13" s="20"/>
      <c r="AF13" s="12">
        <v>0.80625</v>
      </c>
    </row>
    <row r="14">
      <c r="A14" s="1" t="s">
        <v>91</v>
      </c>
      <c r="B14" s="11" t="s">
        <v>92</v>
      </c>
      <c r="C14" s="20"/>
      <c r="D14" s="12">
        <v>0.2</v>
      </c>
      <c r="E14" s="20"/>
      <c r="F14" s="12">
        <v>0.22777777777777777</v>
      </c>
      <c r="G14" s="20"/>
      <c r="H14" s="12">
        <v>0.25555555555555554</v>
      </c>
      <c r="I14" s="20"/>
      <c r="J14" s="12">
        <v>0.26944444444444443</v>
      </c>
      <c r="K14" s="20"/>
      <c r="L14" s="12">
        <v>0.2833333333333333</v>
      </c>
      <c r="M14" s="20"/>
      <c r="N14" s="12">
        <v>0.2972222222222222</v>
      </c>
      <c r="O14" s="20"/>
      <c r="P14" s="12">
        <v>0.3388888888888889</v>
      </c>
      <c r="Q14" s="20"/>
      <c r="R14" s="12">
        <v>0.4222222222222222</v>
      </c>
      <c r="S14" s="20"/>
      <c r="T14" s="12">
        <v>0.5055555555555555</v>
      </c>
      <c r="U14" s="20"/>
      <c r="V14" s="12">
        <v>0.5888888888888889</v>
      </c>
      <c r="W14" s="20"/>
      <c r="X14" s="12">
        <v>0.6305555555555555</v>
      </c>
      <c r="Y14" s="20"/>
      <c r="Z14" s="12">
        <v>0.6722222222222223</v>
      </c>
      <c r="AA14" s="20"/>
      <c r="AB14" s="12">
        <v>0.7416666666666667</v>
      </c>
      <c r="AC14" s="20"/>
      <c r="AD14" s="12">
        <v>0.7694444444444445</v>
      </c>
      <c r="AE14" s="20"/>
      <c r="AF14" s="12">
        <v>0.8111111111111111</v>
      </c>
    </row>
    <row r="15">
      <c r="A15" s="1" t="s">
        <v>87</v>
      </c>
      <c r="B15" s="11" t="s">
        <v>88</v>
      </c>
      <c r="C15" s="20"/>
      <c r="D15" s="12">
        <v>0.2013888888888889</v>
      </c>
      <c r="E15" s="20"/>
      <c r="F15" s="12">
        <v>0.22916666666666666</v>
      </c>
      <c r="G15" s="20"/>
      <c r="H15" s="12">
        <v>0.2569444444444444</v>
      </c>
      <c r="I15" s="20"/>
      <c r="J15" s="12">
        <v>0.2708333333333333</v>
      </c>
      <c r="K15" s="20"/>
      <c r="L15" s="12">
        <v>0.2847222222222222</v>
      </c>
      <c r="M15" s="20"/>
      <c r="N15" s="12">
        <v>0.2986111111111111</v>
      </c>
      <c r="O15" s="20"/>
      <c r="P15" s="12">
        <v>0.3402777777777778</v>
      </c>
      <c r="Q15" s="20"/>
      <c r="R15" s="12">
        <v>0.4236111111111111</v>
      </c>
      <c r="S15" s="20"/>
      <c r="T15" s="12">
        <v>0.5069444444444444</v>
      </c>
      <c r="U15" s="20"/>
      <c r="V15" s="12">
        <v>0.5902777777777778</v>
      </c>
      <c r="W15" s="20"/>
      <c r="X15" s="12">
        <v>0.6319444444444444</v>
      </c>
      <c r="Y15" s="20"/>
      <c r="Z15" s="12">
        <v>0.6736111111111112</v>
      </c>
      <c r="AA15" s="20"/>
      <c r="AB15" s="12">
        <v>0.7430555555555556</v>
      </c>
      <c r="AC15" s="20"/>
      <c r="AD15" s="12">
        <v>0.7708333333333334</v>
      </c>
      <c r="AE15" s="20"/>
      <c r="AF15" s="12">
        <v>0.8125</v>
      </c>
    </row>
    <row r="16">
      <c r="A16" s="1" t="s">
        <v>59</v>
      </c>
      <c r="B16" s="11" t="s">
        <v>60</v>
      </c>
      <c r="C16" s="20"/>
      <c r="D16" s="12">
        <v>0.20555555555555555</v>
      </c>
      <c r="E16" s="20"/>
      <c r="F16" s="12">
        <v>0.23333333333333334</v>
      </c>
      <c r="G16" s="20"/>
      <c r="H16" s="12">
        <v>0.2611111111111111</v>
      </c>
      <c r="I16" s="20"/>
      <c r="J16" s="12">
        <v>0.275</v>
      </c>
      <c r="K16" s="20"/>
      <c r="L16" s="12">
        <v>0.28888888888888886</v>
      </c>
      <c r="M16" s="20"/>
      <c r="N16" s="12">
        <v>0.30277777777777776</v>
      </c>
      <c r="O16" s="20"/>
      <c r="P16" s="12">
        <v>0.34444444444444444</v>
      </c>
      <c r="Q16" s="20"/>
      <c r="R16" s="12">
        <v>0.42777777777777776</v>
      </c>
      <c r="S16" s="20"/>
      <c r="T16" s="12">
        <v>0.5111111111111111</v>
      </c>
      <c r="U16" s="20"/>
      <c r="V16" s="12">
        <v>0.5944444444444444</v>
      </c>
      <c r="W16" s="20"/>
      <c r="X16" s="12">
        <v>0.6361111111111111</v>
      </c>
      <c r="Y16" s="20"/>
      <c r="Z16" s="12">
        <v>0.6777777777777778</v>
      </c>
      <c r="AA16" s="20"/>
      <c r="AB16" s="12">
        <v>0.7472222222222222</v>
      </c>
      <c r="AC16" s="20"/>
      <c r="AD16" s="12">
        <v>0.775</v>
      </c>
      <c r="AE16" s="20"/>
      <c r="AF16" s="12">
        <v>0.8166666666666667</v>
      </c>
    </row>
    <row r="17">
      <c r="A17" s="18" t="s">
        <v>61</v>
      </c>
      <c r="B17" s="16" t="s">
        <v>62</v>
      </c>
      <c r="C17" s="20"/>
      <c r="D17" s="12">
        <v>0.20902777777777778</v>
      </c>
      <c r="E17" s="20"/>
      <c r="F17" s="12">
        <v>0.23680555555555555</v>
      </c>
      <c r="G17" s="20"/>
      <c r="H17" s="12">
        <v>0.26458333333333334</v>
      </c>
      <c r="I17" s="20"/>
      <c r="J17" s="12">
        <v>0.27847222222222223</v>
      </c>
      <c r="K17" s="20"/>
      <c r="L17" s="12">
        <v>0.2923611111111111</v>
      </c>
      <c r="M17" s="20"/>
      <c r="N17" s="12">
        <v>0.30625</v>
      </c>
      <c r="O17" s="20"/>
      <c r="P17" s="12">
        <v>0.34791666666666665</v>
      </c>
      <c r="Q17" s="20"/>
      <c r="R17" s="12">
        <v>0.43125</v>
      </c>
      <c r="S17" s="20"/>
      <c r="T17" s="12">
        <v>0.5145833333333333</v>
      </c>
      <c r="U17" s="20"/>
      <c r="V17" s="12">
        <v>0.5979166666666667</v>
      </c>
      <c r="W17" s="20"/>
      <c r="X17" s="12">
        <v>0.6395833333333333</v>
      </c>
      <c r="Y17" s="20"/>
      <c r="Z17" s="12">
        <v>0.68125</v>
      </c>
      <c r="AA17" s="20"/>
      <c r="AB17" s="12">
        <v>0.7506944444444444</v>
      </c>
      <c r="AC17" s="20"/>
      <c r="AD17" s="12">
        <v>0.7784722222222222</v>
      </c>
      <c r="AE17" s="20"/>
      <c r="AF17" s="12">
        <v>0.8201388888888889</v>
      </c>
    </row>
    <row r="18">
      <c r="A18" s="18"/>
      <c r="B18" s="19"/>
      <c r="C18" s="12"/>
      <c r="D18" s="12"/>
      <c r="E18" s="12"/>
      <c r="F18" s="12"/>
      <c r="G18" s="12"/>
      <c r="H18" s="12"/>
      <c r="I18" s="12"/>
      <c r="J18" s="17"/>
      <c r="K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</row>
    <row r="20">
      <c r="A20" s="7"/>
      <c r="B20" s="8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1"/>
      <c r="B21" s="11"/>
      <c r="C21" s="17"/>
      <c r="D21" s="17"/>
      <c r="E21" s="17"/>
      <c r="F21" s="17"/>
      <c r="G21" s="17"/>
      <c r="H21" s="17"/>
      <c r="I21" s="17"/>
      <c r="J21" s="17"/>
      <c r="K21" s="17"/>
    </row>
    <row r="22">
      <c r="A22" s="1"/>
      <c r="B22" s="3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>
      <c r="A23" s="1"/>
      <c r="B23" s="31"/>
      <c r="C23" s="19"/>
      <c r="D23" s="19"/>
      <c r="E23" s="19"/>
      <c r="F23" s="19"/>
      <c r="G23" s="19"/>
      <c r="H23" s="19"/>
      <c r="I23" s="19"/>
      <c r="J23" s="17"/>
      <c r="K23" s="17"/>
      <c r="L23" s="19"/>
      <c r="M23" s="19"/>
      <c r="N23" s="19"/>
      <c r="O23" s="19"/>
      <c r="P23" s="19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</row>
    <row r="24">
      <c r="A24" s="1"/>
      <c r="B24" s="31"/>
      <c r="C24" s="37"/>
      <c r="D24" s="37"/>
      <c r="E24" s="37"/>
      <c r="F24" s="37"/>
      <c r="G24" s="37"/>
      <c r="H24" s="37"/>
      <c r="I24" s="37"/>
      <c r="J24" s="37"/>
      <c r="K24" s="37"/>
      <c r="L24" s="36"/>
      <c r="M24" s="36"/>
      <c r="N24" s="36"/>
      <c r="O24" s="36"/>
      <c r="P24" s="36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>
      <c r="A25" s="1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6"/>
      <c r="M25" s="36"/>
      <c r="N25" s="36"/>
      <c r="O25" s="36"/>
      <c r="P25" s="36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>
      <c r="A26" s="1"/>
      <c r="B26" s="31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>
      <c r="A27" s="1"/>
      <c r="B27" s="31"/>
      <c r="C27" s="32"/>
      <c r="D27" s="32"/>
      <c r="E27" s="32"/>
      <c r="F27" s="32"/>
      <c r="G27" s="32"/>
      <c r="H27" s="32"/>
      <c r="I27" s="32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>
      <c r="A28" s="1"/>
      <c r="B28" s="31"/>
      <c r="C28" s="32"/>
      <c r="D28" s="32"/>
      <c r="E28" s="32"/>
      <c r="F28" s="32"/>
      <c r="G28" s="32"/>
      <c r="H28" s="32"/>
      <c r="I28" s="32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>
      <c r="A29" s="1"/>
      <c r="B29" s="31"/>
      <c r="C29" s="32"/>
      <c r="D29" s="32"/>
      <c r="E29" s="32"/>
      <c r="F29" s="32"/>
      <c r="G29" s="32"/>
      <c r="H29" s="32"/>
      <c r="I29" s="32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>
      <c r="A30" s="1"/>
      <c r="B30" s="31"/>
      <c r="C30" s="38"/>
      <c r="D30" s="38"/>
      <c r="E30" s="38"/>
      <c r="F30" s="38"/>
      <c r="G30" s="38"/>
      <c r="H30" s="38"/>
      <c r="I30" s="38"/>
      <c r="J30" s="36"/>
      <c r="K30" s="36"/>
      <c r="L30" s="36"/>
      <c r="M30" s="36"/>
      <c r="N30" s="36"/>
      <c r="O30" s="36"/>
      <c r="P30" s="36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>
      <c r="A31" s="1"/>
      <c r="B31" s="31"/>
      <c r="C31" s="38"/>
      <c r="D31" s="38"/>
      <c r="E31" s="38"/>
      <c r="F31" s="38"/>
      <c r="G31" s="38"/>
      <c r="H31" s="38"/>
      <c r="I31" s="38"/>
      <c r="J31" s="36"/>
      <c r="K31" s="36"/>
      <c r="L31" s="36"/>
      <c r="M31" s="36"/>
      <c r="N31" s="36"/>
      <c r="O31" s="36"/>
      <c r="P31" s="36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>
      <c r="A32" s="1"/>
      <c r="B32" s="31"/>
      <c r="C32" s="38"/>
      <c r="D32" s="38"/>
      <c r="E32" s="38"/>
      <c r="F32" s="38"/>
      <c r="G32" s="38"/>
      <c r="H32" s="38"/>
      <c r="I32" s="38"/>
      <c r="J32" s="36"/>
      <c r="K32" s="36"/>
      <c r="L32" s="36"/>
      <c r="M32" s="36"/>
      <c r="N32" s="36"/>
      <c r="O32" s="36"/>
      <c r="P32" s="36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>
      <c r="A33" s="1"/>
      <c r="B33" s="31"/>
      <c r="C33" s="38"/>
      <c r="D33" s="38"/>
      <c r="E33" s="38"/>
      <c r="F33" s="38"/>
      <c r="G33" s="38"/>
      <c r="H33" s="38"/>
      <c r="I33" s="38"/>
      <c r="J33" s="36"/>
      <c r="K33" s="36"/>
      <c r="L33" s="36"/>
      <c r="M33" s="36"/>
      <c r="N33" s="36"/>
      <c r="O33" s="36"/>
      <c r="P33" s="36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"/>
      <c r="B34" s="15"/>
      <c r="C34" s="38"/>
      <c r="D34" s="38"/>
      <c r="E34" s="38"/>
      <c r="F34" s="38"/>
      <c r="G34" s="38"/>
      <c r="H34" s="38"/>
      <c r="I34" s="38"/>
      <c r="J34" s="36"/>
      <c r="K34" s="36"/>
      <c r="L34" s="36"/>
      <c r="M34" s="36"/>
      <c r="N34" s="36"/>
      <c r="O34" s="36"/>
      <c r="P34" s="36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>
      <c r="A35" s="16"/>
      <c r="B35" s="38"/>
      <c r="C35" s="38"/>
      <c r="D35" s="38"/>
      <c r="E35" s="38"/>
      <c r="F35" s="38"/>
      <c r="G35" s="38"/>
      <c r="H35" s="38"/>
      <c r="I35" s="38"/>
      <c r="J35" s="36"/>
      <c r="K35" s="36"/>
      <c r="L35" s="36"/>
      <c r="M35" s="36"/>
      <c r="N35" s="36"/>
      <c r="O35" s="36"/>
      <c r="P35" s="36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>
      <c r="A36" s="16"/>
      <c r="B36" s="38"/>
      <c r="C36" s="38"/>
      <c r="D36" s="38"/>
      <c r="E36" s="38"/>
      <c r="F36" s="38"/>
      <c r="G36" s="38"/>
      <c r="H36" s="38"/>
      <c r="I36" s="38"/>
      <c r="J36" s="36"/>
      <c r="K36" s="36"/>
      <c r="L36" s="36"/>
      <c r="M36" s="36"/>
      <c r="N36" s="36"/>
      <c r="O36" s="36"/>
      <c r="P36" s="36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>
      <c r="A37" s="16"/>
      <c r="B37" s="38"/>
      <c r="C37" s="38"/>
      <c r="D37" s="38"/>
      <c r="E37" s="38"/>
      <c r="F37" s="38"/>
      <c r="G37" s="38"/>
      <c r="H37" s="38"/>
      <c r="I37" s="38"/>
      <c r="J37" s="36"/>
      <c r="K37" s="36"/>
      <c r="L37" s="36"/>
      <c r="M37" s="36"/>
      <c r="N37" s="36"/>
      <c r="O37" s="36"/>
      <c r="P37" s="36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>
      <c r="A38" s="36"/>
    </row>
    <row r="39">
      <c r="A39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46076.0</v>
      </c>
      <c r="C1" s="1" t="str">
        <f>'DURBN-to-BRIDG_Weekday'!C1</f>
        <v>Z2</v>
      </c>
      <c r="D1" s="3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9323.0</v>
      </c>
      <c r="D2" s="21">
        <v>9333.0</v>
      </c>
      <c r="E2" s="21">
        <v>9729.0</v>
      </c>
      <c r="F2" s="21">
        <v>9373.0</v>
      </c>
      <c r="G2" s="21">
        <v>9749.0</v>
      </c>
      <c r="H2" s="21">
        <v>9393.0</v>
      </c>
      <c r="I2" s="21">
        <v>9759.0</v>
      </c>
      <c r="J2" s="21">
        <v>9413.0</v>
      </c>
      <c r="K2" s="21">
        <v>9767.0</v>
      </c>
      <c r="L2" s="21">
        <v>9443.0</v>
      </c>
      <c r="M2" s="21">
        <v>9779.0</v>
      </c>
      <c r="N2" s="21">
        <v>9463.0</v>
      </c>
      <c r="O2" s="21">
        <v>9787.0</v>
      </c>
      <c r="P2" s="21">
        <v>9473.0</v>
      </c>
      <c r="Q2" s="21">
        <v>9791.0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34" t="s">
        <v>61</v>
      </c>
      <c r="B3" s="8" t="s">
        <v>62</v>
      </c>
      <c r="C3" s="12">
        <v>0.20347222222222222</v>
      </c>
      <c r="D3" s="12">
        <v>0.27291666666666664</v>
      </c>
      <c r="E3" s="12"/>
      <c r="F3" s="12">
        <v>0.4395833333333333</v>
      </c>
      <c r="G3" s="12"/>
      <c r="H3" s="12">
        <v>0.5645833333333333</v>
      </c>
      <c r="I3" s="12"/>
      <c r="J3" s="12">
        <v>0.6479166666666667</v>
      </c>
      <c r="K3" s="12"/>
      <c r="L3" s="12">
        <v>0.6895833333333333</v>
      </c>
      <c r="M3" s="12"/>
      <c r="N3" s="12">
        <v>0.7451388888888889</v>
      </c>
      <c r="O3" s="12"/>
      <c r="P3" s="12">
        <v>0.8145833333333333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34" t="s">
        <v>59</v>
      </c>
      <c r="B4" s="11" t="s">
        <v>60</v>
      </c>
      <c r="C4" s="12">
        <v>0.2076388888888889</v>
      </c>
      <c r="D4" s="12">
        <v>0.27708333333333335</v>
      </c>
      <c r="E4" s="12"/>
      <c r="F4" s="12">
        <v>0.44375</v>
      </c>
      <c r="G4" s="12"/>
      <c r="H4" s="12">
        <v>0.56875</v>
      </c>
      <c r="I4" s="12"/>
      <c r="J4" s="12">
        <v>0.6520833333333333</v>
      </c>
      <c r="K4" s="12"/>
      <c r="L4" s="12">
        <v>0.69375</v>
      </c>
      <c r="M4" s="12"/>
      <c r="N4" s="12">
        <v>0.7493055555555556</v>
      </c>
      <c r="O4" s="12"/>
      <c r="P4" s="12">
        <v>0.81875</v>
      </c>
      <c r="Q4" s="12"/>
      <c r="R4" s="12"/>
      <c r="S4" s="12"/>
      <c r="T4" s="12"/>
    </row>
    <row r="5">
      <c r="A5" s="34" t="s">
        <v>87</v>
      </c>
      <c r="B5" s="31" t="s">
        <v>88</v>
      </c>
      <c r="C5" s="12">
        <v>0.21041666666666667</v>
      </c>
      <c r="D5" s="12">
        <v>0.2798611111111111</v>
      </c>
      <c r="E5" s="12"/>
      <c r="F5" s="12">
        <v>0.4465277777777778</v>
      </c>
      <c r="G5" s="12"/>
      <c r="H5" s="12">
        <v>0.5715277777777777</v>
      </c>
      <c r="I5" s="12"/>
      <c r="J5" s="12">
        <v>0.6548611111111111</v>
      </c>
      <c r="K5" s="12"/>
      <c r="L5" s="12">
        <v>0.6965277777777777</v>
      </c>
      <c r="M5" s="12"/>
      <c r="N5" s="12">
        <v>0.7520833333333333</v>
      </c>
      <c r="O5" s="12"/>
      <c r="P5" s="12">
        <v>0.8215277777777777</v>
      </c>
      <c r="Q5" s="12"/>
      <c r="R5" s="12"/>
      <c r="S5" s="12"/>
      <c r="T5" s="12"/>
    </row>
    <row r="6">
      <c r="A6" s="1" t="s">
        <v>91</v>
      </c>
      <c r="B6" s="31" t="s">
        <v>92</v>
      </c>
      <c r="C6" s="12">
        <v>0.21319444444444444</v>
      </c>
      <c r="D6" s="12">
        <v>0.2826388888888889</v>
      </c>
      <c r="E6" s="12"/>
      <c r="F6" s="12">
        <v>0.44930555555555557</v>
      </c>
      <c r="G6" s="12"/>
      <c r="H6" s="12">
        <v>0.5743055555555555</v>
      </c>
      <c r="I6" s="12"/>
      <c r="J6" s="12">
        <v>0.6576388888888889</v>
      </c>
      <c r="K6" s="12"/>
      <c r="L6" s="12">
        <v>0.6993055555555555</v>
      </c>
      <c r="M6" s="12"/>
      <c r="N6" s="12">
        <v>0.7548611111111111</v>
      </c>
      <c r="O6" s="12"/>
      <c r="P6" s="12">
        <v>0.8243055555555555</v>
      </c>
      <c r="Q6" s="12"/>
      <c r="R6" s="12"/>
      <c r="S6" s="12"/>
      <c r="T6" s="12"/>
    </row>
    <row r="7">
      <c r="A7" s="1" t="s">
        <v>95</v>
      </c>
      <c r="B7" s="31" t="s">
        <v>96</v>
      </c>
      <c r="C7" s="12">
        <v>0.21805555555555556</v>
      </c>
      <c r="D7" s="12">
        <v>0.2875</v>
      </c>
      <c r="E7" s="12"/>
      <c r="F7" s="12">
        <v>0.45416666666666666</v>
      </c>
      <c r="G7" s="12"/>
      <c r="H7" s="12">
        <v>0.5791666666666667</v>
      </c>
      <c r="I7" s="12"/>
      <c r="J7" s="12">
        <v>0.6625</v>
      </c>
      <c r="K7" s="12"/>
      <c r="L7" s="12">
        <v>0.7041666666666667</v>
      </c>
      <c r="M7" s="12"/>
      <c r="N7" s="12">
        <v>0.7597222222222222</v>
      </c>
      <c r="O7" s="12"/>
      <c r="P7" s="12">
        <v>0.8291666666666667</v>
      </c>
      <c r="Q7" s="12"/>
      <c r="R7" s="12"/>
      <c r="S7" s="12"/>
      <c r="T7" s="12"/>
    </row>
    <row r="8">
      <c r="A8" s="1" t="s">
        <v>99</v>
      </c>
      <c r="B8" s="31" t="s">
        <v>100</v>
      </c>
      <c r="C8" s="12">
        <v>0.22083333333333333</v>
      </c>
      <c r="D8" s="12">
        <v>0.2902777777777778</v>
      </c>
      <c r="E8" s="12"/>
      <c r="F8" s="12">
        <v>0.45694444444444443</v>
      </c>
      <c r="G8" s="12"/>
      <c r="H8" s="12">
        <v>0.5819444444444445</v>
      </c>
      <c r="I8" s="12"/>
      <c r="J8" s="12">
        <v>0.6652777777777777</v>
      </c>
      <c r="K8" s="12"/>
      <c r="L8" s="12">
        <v>0.7069444444444445</v>
      </c>
      <c r="M8" s="12"/>
      <c r="N8" s="12">
        <v>0.7625</v>
      </c>
      <c r="O8" s="12"/>
      <c r="P8" s="12">
        <v>0.8319444444444445</v>
      </c>
      <c r="Q8" s="12"/>
      <c r="R8" s="12"/>
      <c r="S8" s="12"/>
      <c r="T8" s="12"/>
    </row>
    <row r="9">
      <c r="A9" s="1" t="s">
        <v>101</v>
      </c>
      <c r="B9" s="31" t="s">
        <v>103</v>
      </c>
      <c r="C9" s="12">
        <v>0.22291666666666668</v>
      </c>
      <c r="D9" s="12">
        <v>0.2923611111111111</v>
      </c>
      <c r="E9" s="12"/>
      <c r="F9" s="12">
        <v>0.45902777777777776</v>
      </c>
      <c r="G9" s="12"/>
      <c r="H9" s="12">
        <v>0.5840277777777778</v>
      </c>
      <c r="I9" s="12"/>
      <c r="J9" s="12">
        <v>0.6673611111111111</v>
      </c>
      <c r="K9" s="12"/>
      <c r="L9" s="12">
        <v>0.7090277777777778</v>
      </c>
      <c r="M9" s="12"/>
      <c r="N9" s="12">
        <v>0.7645833333333333</v>
      </c>
      <c r="O9" s="12"/>
      <c r="P9" s="12">
        <v>0.8340277777777778</v>
      </c>
      <c r="Q9" s="12"/>
      <c r="R9" s="12"/>
      <c r="S9" s="12"/>
      <c r="T9" s="12"/>
    </row>
    <row r="10">
      <c r="A10" s="1" t="s">
        <v>105</v>
      </c>
      <c r="B10" s="31" t="s">
        <v>106</v>
      </c>
      <c r="C10" s="12">
        <v>0.22708333333333333</v>
      </c>
      <c r="D10" s="12">
        <v>0.2965277777777778</v>
      </c>
      <c r="E10" s="12"/>
      <c r="F10" s="12">
        <v>0.46319444444444446</v>
      </c>
      <c r="G10" s="12"/>
      <c r="H10" s="12">
        <v>0.5881944444444445</v>
      </c>
      <c r="I10" s="12"/>
      <c r="J10" s="12">
        <v>0.6715277777777777</v>
      </c>
      <c r="K10" s="12"/>
      <c r="L10" s="12">
        <v>0.7131944444444445</v>
      </c>
      <c r="M10" s="12"/>
      <c r="N10" s="12">
        <v>0.76875</v>
      </c>
      <c r="O10" s="12"/>
      <c r="P10" s="12">
        <v>0.8381944444444445</v>
      </c>
      <c r="Q10" s="12"/>
    </row>
    <row r="11">
      <c r="A11" s="1" t="s">
        <v>107</v>
      </c>
      <c r="B11" s="31" t="s">
        <v>109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>
      <c r="A12" s="1" t="s">
        <v>111</v>
      </c>
      <c r="B12" s="15" t="s">
        <v>112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108</v>
      </c>
      <c r="B13" s="11" t="s">
        <v>110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102</v>
      </c>
      <c r="B14" s="35" t="s">
        <v>104</v>
      </c>
      <c r="C14" s="12">
        <v>0.2326388888888889</v>
      </c>
      <c r="D14" s="12">
        <v>0.3020833333333333</v>
      </c>
      <c r="E14" s="12">
        <v>0.3138888888888889</v>
      </c>
      <c r="F14" s="12">
        <v>0.46875</v>
      </c>
      <c r="G14" s="12">
        <v>0.48055555555555557</v>
      </c>
      <c r="H14" s="12">
        <v>0.59375</v>
      </c>
      <c r="I14" s="12">
        <v>0.6055555555555555</v>
      </c>
      <c r="J14" s="12">
        <v>0.6770833333333334</v>
      </c>
      <c r="K14" s="12">
        <v>0.68125</v>
      </c>
      <c r="L14" s="12">
        <v>0.71875</v>
      </c>
      <c r="M14" s="12">
        <v>0.7201388888888889</v>
      </c>
      <c r="N14" s="12">
        <v>0.7743055555555556</v>
      </c>
      <c r="O14" s="12">
        <v>0.7763888888888889</v>
      </c>
      <c r="P14" s="12">
        <v>0.84375</v>
      </c>
      <c r="Q14" s="12">
        <v>0.8458333333333333</v>
      </c>
      <c r="R14" s="12"/>
      <c r="S14" s="12"/>
      <c r="T14" s="12"/>
    </row>
    <row r="15">
      <c r="A15" s="1" t="s">
        <v>97</v>
      </c>
      <c r="B15" s="35" t="s">
        <v>98</v>
      </c>
      <c r="C15" s="12">
        <v>0.23541666666666666</v>
      </c>
      <c r="D15" s="12">
        <v>0.30486111111111114</v>
      </c>
      <c r="E15" s="12"/>
      <c r="F15" s="12">
        <v>0.47152777777777777</v>
      </c>
      <c r="G15" s="12"/>
      <c r="H15" s="12">
        <v>0.5965277777777778</v>
      </c>
      <c r="I15" s="12"/>
      <c r="J15" s="12">
        <v>0.6798611111111111</v>
      </c>
      <c r="K15" s="12"/>
      <c r="L15" s="12">
        <v>0.7215277777777778</v>
      </c>
      <c r="M15" s="12"/>
      <c r="N15" s="12">
        <v>0.7770833333333333</v>
      </c>
      <c r="O15" s="12"/>
      <c r="P15" s="12">
        <v>0.8465277777777778</v>
      </c>
      <c r="Q15" s="12"/>
      <c r="R15" s="12"/>
      <c r="S15" s="12"/>
      <c r="T15" s="12"/>
    </row>
    <row r="16">
      <c r="A16" s="1" t="s">
        <v>93</v>
      </c>
      <c r="B16" s="36" t="s">
        <v>94</v>
      </c>
      <c r="C16" s="12">
        <v>0.23819444444444443</v>
      </c>
      <c r="D16" s="12">
        <v>0.3076388888888889</v>
      </c>
      <c r="E16" s="12"/>
      <c r="F16" s="12">
        <v>0.47430555555555554</v>
      </c>
      <c r="G16" s="12"/>
      <c r="H16" s="12">
        <v>0.5993055555555555</v>
      </c>
      <c r="I16" s="12"/>
      <c r="J16" s="12">
        <v>0.6826388888888889</v>
      </c>
      <c r="K16" s="12"/>
      <c r="L16" s="12">
        <v>0.7243055555555555</v>
      </c>
      <c r="M16" s="12"/>
      <c r="N16" s="12">
        <v>0.7798611111111111</v>
      </c>
      <c r="O16" s="12"/>
      <c r="P16" s="12">
        <v>0.8493055555555555</v>
      </c>
      <c r="Q16" s="12"/>
      <c r="R16" s="16"/>
      <c r="S16" s="16"/>
      <c r="T16" s="16"/>
    </row>
    <row r="17">
      <c r="A17" s="1" t="s">
        <v>89</v>
      </c>
      <c r="B17" s="36" t="s">
        <v>90</v>
      </c>
      <c r="C17" s="12"/>
      <c r="D17" s="12"/>
      <c r="E17" s="12">
        <v>0.31805555555555554</v>
      </c>
      <c r="F17" s="12"/>
      <c r="G17" s="12">
        <v>0.4847222222222222</v>
      </c>
      <c r="H17" s="12"/>
      <c r="I17" s="12">
        <v>0.6097222222222223</v>
      </c>
      <c r="J17" s="12"/>
      <c r="K17" s="12">
        <v>0.6854166666666667</v>
      </c>
      <c r="L17" s="12"/>
      <c r="M17" s="12">
        <v>0.7243055555555555</v>
      </c>
      <c r="N17" s="12"/>
      <c r="O17" s="12">
        <v>0.7805555555555556</v>
      </c>
      <c r="P17" s="12"/>
      <c r="Q17" s="12">
        <v>0.85</v>
      </c>
      <c r="R17" s="17"/>
      <c r="S17" s="17"/>
      <c r="T17" s="17"/>
    </row>
    <row r="18">
      <c r="A18" s="16"/>
      <c r="B18" s="19"/>
      <c r="C18" s="17"/>
      <c r="D18" s="37"/>
      <c r="E18" s="17"/>
      <c r="F18" s="37"/>
      <c r="G18" s="17"/>
      <c r="H18" s="37"/>
      <c r="I18" s="17"/>
      <c r="J18" s="37"/>
      <c r="K18" s="17"/>
      <c r="L18" s="37"/>
      <c r="M18" s="17"/>
      <c r="N18" s="37"/>
      <c r="O18" s="17"/>
      <c r="P18" s="37"/>
      <c r="Q18" s="17"/>
      <c r="R18" s="17"/>
      <c r="S18" s="17"/>
      <c r="T18" s="17"/>
    </row>
    <row r="19">
      <c r="A19" s="16"/>
      <c r="B19" s="38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17"/>
      <c r="R19" s="17"/>
      <c r="S19" s="17"/>
      <c r="T19" s="17"/>
    </row>
    <row r="20">
      <c r="A20" s="16"/>
      <c r="B20" s="19"/>
      <c r="C20" s="17"/>
      <c r="D20" s="37"/>
      <c r="E20" s="17"/>
      <c r="F20" s="37"/>
      <c r="G20" s="17"/>
      <c r="H20" s="37"/>
      <c r="I20" s="17"/>
      <c r="J20" s="37"/>
      <c r="K20" s="17"/>
      <c r="L20" s="37"/>
      <c r="M20" s="17"/>
      <c r="N20" s="37"/>
      <c r="O20" s="17"/>
      <c r="P20" s="37"/>
      <c r="Q20" s="17"/>
      <c r="R20" s="17"/>
      <c r="S20" s="17"/>
      <c r="T20" s="17"/>
    </row>
    <row r="21">
      <c r="A21" s="16"/>
      <c r="B21" s="19"/>
      <c r="C21" s="17"/>
      <c r="D21" s="37"/>
      <c r="E21" s="17"/>
      <c r="F21" s="37"/>
      <c r="G21" s="17"/>
      <c r="H21" s="37"/>
      <c r="I21" s="17"/>
      <c r="J21" s="37"/>
      <c r="K21" s="17"/>
      <c r="L21" s="37"/>
      <c r="M21" s="17"/>
      <c r="N21" s="37"/>
      <c r="O21" s="17"/>
      <c r="P21" s="37"/>
      <c r="Q21" s="17"/>
      <c r="R21" s="17"/>
      <c r="S21" s="17"/>
      <c r="T21" s="17"/>
    </row>
    <row r="22">
      <c r="A22" s="16"/>
      <c r="B22" s="38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17"/>
      <c r="R22" s="17"/>
      <c r="S22" s="17"/>
      <c r="T22" s="17"/>
    </row>
    <row r="23">
      <c r="A23" s="16"/>
      <c r="B23" s="19"/>
      <c r="C23" s="17"/>
      <c r="D23" s="37"/>
      <c r="E23" s="17"/>
      <c r="F23" s="37"/>
      <c r="G23" s="17"/>
      <c r="H23" s="37"/>
      <c r="I23" s="17"/>
      <c r="J23" s="37"/>
      <c r="K23" s="17"/>
      <c r="L23" s="37"/>
      <c r="M23" s="17"/>
      <c r="N23" s="37"/>
      <c r="O23" s="17"/>
      <c r="P23" s="37"/>
      <c r="Q23" s="17"/>
      <c r="R23" s="17"/>
      <c r="S23" s="17"/>
      <c r="T23" s="17"/>
    </row>
    <row r="24">
      <c r="A24" s="16"/>
      <c r="B24" s="19"/>
      <c r="C24" s="17"/>
      <c r="D24" s="37"/>
      <c r="E24" s="17"/>
      <c r="F24" s="37"/>
      <c r="G24" s="17"/>
      <c r="H24" s="37"/>
      <c r="I24" s="17"/>
      <c r="J24" s="37"/>
      <c r="K24" s="17"/>
      <c r="L24" s="37"/>
      <c r="M24" s="17"/>
      <c r="N24" s="37"/>
      <c r="O24" s="17"/>
      <c r="P24" s="37"/>
      <c r="Q24" s="17"/>
      <c r="R24" s="17"/>
      <c r="S24" s="17"/>
      <c r="T24" s="17"/>
    </row>
    <row r="25">
      <c r="A25" s="16"/>
      <c r="B25" s="19"/>
      <c r="C25" s="17"/>
      <c r="D25" s="37"/>
      <c r="E25" s="17"/>
      <c r="F25" s="37"/>
      <c r="G25" s="17"/>
      <c r="H25" s="37"/>
      <c r="I25" s="17"/>
      <c r="J25" s="37"/>
      <c r="K25" s="17"/>
      <c r="L25" s="37"/>
      <c r="M25" s="17"/>
      <c r="N25" s="37"/>
      <c r="O25" s="17"/>
      <c r="P25" s="37"/>
      <c r="Q25" s="17"/>
      <c r="R25" s="17"/>
      <c r="S25" s="17"/>
      <c r="T25" s="17"/>
    </row>
    <row r="26">
      <c r="A26" s="16"/>
      <c r="B26" s="19"/>
      <c r="C26" s="17"/>
      <c r="D26" s="37"/>
      <c r="E26" s="17"/>
      <c r="F26" s="37"/>
      <c r="G26" s="17"/>
      <c r="H26" s="37"/>
      <c r="I26" s="17"/>
      <c r="J26" s="37"/>
      <c r="K26" s="17"/>
      <c r="L26" s="37"/>
      <c r="M26" s="17"/>
      <c r="N26" s="37"/>
      <c r="O26" s="17"/>
      <c r="P26" s="37"/>
      <c r="Q26" s="17"/>
      <c r="R26" s="17"/>
      <c r="S26" s="17"/>
      <c r="T26" s="17"/>
    </row>
    <row r="27">
      <c r="A27" s="16"/>
      <c r="B27" s="19"/>
      <c r="C27" s="17"/>
      <c r="D27" s="37"/>
      <c r="E27" s="17"/>
      <c r="F27" s="37"/>
      <c r="G27" s="17"/>
      <c r="H27" s="37"/>
      <c r="I27" s="17"/>
      <c r="J27" s="37"/>
      <c r="K27" s="17"/>
      <c r="L27" s="37"/>
      <c r="M27" s="17"/>
      <c r="N27" s="37"/>
      <c r="O27" s="17"/>
      <c r="P27" s="37"/>
      <c r="Q27" s="17"/>
      <c r="R27" s="17"/>
      <c r="S27" s="17"/>
      <c r="T27" s="17"/>
    </row>
    <row r="28">
      <c r="A28" s="16"/>
      <c r="B28" s="19"/>
      <c r="C28" s="19"/>
      <c r="D28" s="38"/>
      <c r="E28" s="19"/>
      <c r="F28" s="32"/>
      <c r="G28" s="19"/>
      <c r="H28" s="32"/>
      <c r="I28" s="19"/>
      <c r="J28" s="32"/>
      <c r="K28" s="19"/>
      <c r="L28" s="36"/>
      <c r="M28" s="19"/>
      <c r="N28" s="36"/>
      <c r="O28" s="19"/>
      <c r="P28" s="36"/>
    </row>
    <row r="29">
      <c r="A29" s="16"/>
      <c r="B29" s="19"/>
      <c r="C29" s="19"/>
      <c r="D29" s="38"/>
      <c r="E29" s="19"/>
      <c r="F29" s="38"/>
      <c r="G29" s="19"/>
      <c r="H29" s="38"/>
      <c r="I29" s="19"/>
      <c r="J29" s="38"/>
      <c r="K29" s="19"/>
      <c r="L29" s="36"/>
      <c r="M29" s="19"/>
      <c r="N29" s="36"/>
      <c r="O29" s="19"/>
      <c r="P29" s="36"/>
    </row>
    <row r="30">
      <c r="A30" s="16"/>
      <c r="B30" s="36"/>
      <c r="C30" s="38"/>
      <c r="D30" s="38"/>
      <c r="E30" s="38"/>
      <c r="F30" s="38"/>
      <c r="G30" s="38"/>
      <c r="H30" s="38"/>
      <c r="I30" s="38"/>
      <c r="J30" s="38"/>
      <c r="K30" s="36"/>
      <c r="L30" s="36"/>
      <c r="M30" s="36"/>
      <c r="N30" s="36"/>
      <c r="O30" s="36"/>
      <c r="P30" s="36"/>
    </row>
    <row r="31">
      <c r="A31" s="16"/>
      <c r="B31" s="36"/>
      <c r="C31" s="38"/>
      <c r="D31" s="38"/>
      <c r="E31" s="38"/>
      <c r="F31" s="38"/>
      <c r="G31" s="38"/>
      <c r="H31" s="38"/>
      <c r="I31" s="38"/>
      <c r="J31" s="38"/>
      <c r="K31" s="36"/>
      <c r="L31" s="36"/>
      <c r="M31" s="36"/>
      <c r="N31" s="36"/>
      <c r="O31" s="36"/>
      <c r="P31" s="36"/>
    </row>
    <row r="32">
      <c r="A32" s="16"/>
      <c r="B32" s="37"/>
      <c r="C32" s="32"/>
      <c r="D32" s="32"/>
      <c r="E32" s="32"/>
      <c r="F32" s="32"/>
      <c r="G32" s="32"/>
      <c r="H32" s="32"/>
      <c r="I32" s="32"/>
      <c r="J32" s="32"/>
      <c r="K32" s="36"/>
      <c r="L32" s="36"/>
      <c r="M32" s="36"/>
      <c r="N32" s="36"/>
      <c r="O32" s="36"/>
      <c r="P32" s="3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>
      <c r="A34" s="16"/>
      <c r="B34" s="19"/>
      <c r="C34" s="19"/>
      <c r="D34" s="32"/>
      <c r="E34" s="19"/>
      <c r="F34" s="32"/>
      <c r="G34" s="19"/>
      <c r="H34" s="32"/>
      <c r="I34" s="19"/>
      <c r="J34" s="32"/>
      <c r="K34" s="19"/>
      <c r="L34" s="36"/>
      <c r="M34" s="19"/>
      <c r="N34" s="36"/>
      <c r="O34" s="19"/>
      <c r="P34" s="36"/>
    </row>
    <row r="35">
      <c r="A35" s="16"/>
      <c r="B35" s="19"/>
      <c r="C35" s="19"/>
      <c r="D35" s="38"/>
      <c r="E35" s="19"/>
      <c r="F35" s="38"/>
      <c r="G35" s="19"/>
      <c r="H35" s="38"/>
      <c r="I35" s="19"/>
      <c r="J35" s="38"/>
      <c r="K35" s="19"/>
      <c r="L35" s="36"/>
      <c r="M35" s="19"/>
      <c r="N35" s="36"/>
      <c r="O35" s="19"/>
      <c r="P35" s="36"/>
    </row>
    <row r="36">
      <c r="A36" s="16"/>
      <c r="B36" s="38"/>
      <c r="C36" s="38"/>
      <c r="D36" s="19"/>
      <c r="E36" s="38"/>
      <c r="F36" s="19"/>
      <c r="G36" s="38"/>
      <c r="H36" s="19"/>
      <c r="I36" s="38"/>
      <c r="J36" s="19"/>
      <c r="K36" s="36"/>
      <c r="L36" s="19"/>
      <c r="M36" s="36"/>
      <c r="N36" s="19"/>
      <c r="O36" s="36"/>
      <c r="P36" s="19"/>
    </row>
    <row r="37">
      <c r="A37" s="32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'DURBN-to-BRIDG_Sat'!B1</f>
        <v>46076</v>
      </c>
      <c r="C1" s="1" t="str">
        <f>'DURBN-to-BRIDG_Weekday'!C1</f>
        <v>Z2</v>
      </c>
      <c r="D1" s="3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9324.0</v>
      </c>
      <c r="D2" s="21">
        <v>9724.0</v>
      </c>
      <c r="E2" s="21">
        <v>9344.0</v>
      </c>
      <c r="F2" s="21">
        <v>9732.0</v>
      </c>
      <c r="G2" s="21">
        <v>9364.0</v>
      </c>
      <c r="H2" s="21">
        <v>9736.0</v>
      </c>
      <c r="I2" s="21">
        <v>9374.0</v>
      </c>
      <c r="J2" s="21">
        <v>9748.0</v>
      </c>
      <c r="K2" s="21">
        <v>9404.0</v>
      </c>
      <c r="L2" s="21">
        <v>9758.0</v>
      </c>
      <c r="M2" s="21">
        <v>9424.0</v>
      </c>
      <c r="N2" s="21">
        <v>9762.0</v>
      </c>
      <c r="O2" s="21">
        <v>9434.0</v>
      </c>
      <c r="P2" s="21">
        <v>9776.0</v>
      </c>
      <c r="Q2" s="21">
        <v>9454.0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89</v>
      </c>
      <c r="B3" s="8" t="s">
        <v>90</v>
      </c>
      <c r="C3" s="12"/>
      <c r="D3" s="12">
        <v>0.24166666666666667</v>
      </c>
      <c r="E3" s="12"/>
      <c r="F3" s="12">
        <v>0.26944444444444443</v>
      </c>
      <c r="G3" s="12"/>
      <c r="H3" s="12">
        <v>0.30416666666666664</v>
      </c>
      <c r="I3" s="12"/>
      <c r="J3" s="12">
        <v>0.4708333333333333</v>
      </c>
      <c r="K3" s="12"/>
      <c r="L3" s="12">
        <v>0.5958333333333333</v>
      </c>
      <c r="M3" s="12"/>
      <c r="N3" s="12">
        <v>0.6375</v>
      </c>
      <c r="O3" s="12"/>
      <c r="P3" s="12">
        <v>0.7416666666666667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93</v>
      </c>
      <c r="B4" s="11" t="s">
        <v>94</v>
      </c>
      <c r="C4" s="12">
        <v>0.20277777777777778</v>
      </c>
      <c r="D4" s="12"/>
      <c r="E4" s="12">
        <v>0.24444444444444444</v>
      </c>
      <c r="F4" s="12"/>
      <c r="G4" s="12">
        <v>0.2722222222222222</v>
      </c>
      <c r="H4" s="12"/>
      <c r="I4" s="12">
        <v>0.3138888888888889</v>
      </c>
      <c r="J4" s="12"/>
      <c r="K4" s="12">
        <v>0.48055555555555557</v>
      </c>
      <c r="L4" s="12"/>
      <c r="M4" s="12">
        <v>0.6055555555555555</v>
      </c>
      <c r="N4" s="12"/>
      <c r="O4" s="12">
        <v>0.6472222222222223</v>
      </c>
      <c r="P4" s="12"/>
      <c r="Q4" s="12">
        <v>0.7444444444444445</v>
      </c>
      <c r="R4" s="12"/>
      <c r="S4" s="12"/>
      <c r="T4" s="12"/>
    </row>
    <row r="5">
      <c r="A5" s="1" t="s">
        <v>97</v>
      </c>
      <c r="B5" s="11" t="s">
        <v>98</v>
      </c>
      <c r="C5" s="12">
        <v>0.2048611111111111</v>
      </c>
      <c r="D5" s="12"/>
      <c r="E5" s="12">
        <v>0.2465277777777778</v>
      </c>
      <c r="F5" s="12"/>
      <c r="G5" s="12">
        <v>0.2743055555555556</v>
      </c>
      <c r="H5" s="12"/>
      <c r="I5" s="12">
        <v>0.3159722222222222</v>
      </c>
      <c r="J5" s="12"/>
      <c r="K5" s="12">
        <v>0.4826388888888889</v>
      </c>
      <c r="L5" s="12"/>
      <c r="M5" s="12">
        <v>0.6076388888888888</v>
      </c>
      <c r="N5" s="12"/>
      <c r="O5" s="12">
        <v>0.6493055555555556</v>
      </c>
      <c r="P5" s="12"/>
      <c r="Q5" s="12">
        <v>0.7465277777777778</v>
      </c>
      <c r="R5" s="12"/>
      <c r="S5" s="12"/>
      <c r="T5" s="12"/>
    </row>
    <row r="6">
      <c r="A6" s="1" t="s">
        <v>102</v>
      </c>
      <c r="B6" s="11" t="s">
        <v>104</v>
      </c>
      <c r="C6" s="12">
        <v>0.20833333333333334</v>
      </c>
      <c r="D6" s="12">
        <v>0.24583333333333332</v>
      </c>
      <c r="E6" s="12">
        <v>0.25</v>
      </c>
      <c r="F6" s="12">
        <v>0.27361111111111114</v>
      </c>
      <c r="G6" s="12">
        <v>0.2777777777777778</v>
      </c>
      <c r="H6" s="12">
        <v>0.30833333333333335</v>
      </c>
      <c r="I6" s="12">
        <v>0.3194444444444444</v>
      </c>
      <c r="J6" s="12">
        <v>0.475</v>
      </c>
      <c r="K6" s="12">
        <v>0.4861111111111111</v>
      </c>
      <c r="L6" s="12">
        <v>0.6</v>
      </c>
      <c r="M6" s="12">
        <v>0.6111111111111112</v>
      </c>
      <c r="N6" s="12">
        <v>0.6416666666666667</v>
      </c>
      <c r="O6" s="12">
        <v>0.6527777777777778</v>
      </c>
      <c r="P6" s="12">
        <v>0.7458333333333333</v>
      </c>
      <c r="Q6" s="12">
        <v>0.75</v>
      </c>
      <c r="R6" s="12"/>
      <c r="S6" s="12"/>
      <c r="T6" s="12"/>
    </row>
    <row r="7">
      <c r="A7" s="1" t="s">
        <v>108</v>
      </c>
      <c r="B7" s="11" t="s">
        <v>110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111</v>
      </c>
      <c r="B8" s="11" t="s">
        <v>112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107</v>
      </c>
      <c r="B9" s="11" t="s">
        <v>109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105</v>
      </c>
      <c r="B10" s="11" t="s">
        <v>106</v>
      </c>
      <c r="C10" s="12">
        <v>0.21458333333333332</v>
      </c>
      <c r="D10" s="12"/>
      <c r="E10" s="12">
        <v>0.25625</v>
      </c>
      <c r="F10" s="12"/>
      <c r="G10" s="12">
        <v>0.28402777777777777</v>
      </c>
      <c r="H10" s="12"/>
      <c r="I10" s="12">
        <v>0.32569444444444445</v>
      </c>
      <c r="J10" s="12"/>
      <c r="K10" s="12">
        <v>0.49236111111111114</v>
      </c>
      <c r="L10" s="12"/>
      <c r="M10" s="12">
        <v>0.6173611111111111</v>
      </c>
      <c r="N10" s="12"/>
      <c r="O10" s="12">
        <v>0.6590277777777778</v>
      </c>
      <c r="P10" s="12"/>
      <c r="Q10" s="12">
        <v>0.75625</v>
      </c>
      <c r="R10" s="12"/>
      <c r="S10" s="12"/>
      <c r="T10" s="12"/>
    </row>
    <row r="11">
      <c r="A11" s="1" t="s">
        <v>101</v>
      </c>
      <c r="B11" s="11" t="s">
        <v>103</v>
      </c>
      <c r="C11" s="12">
        <v>0.21805555555555556</v>
      </c>
      <c r="D11" s="12"/>
      <c r="E11" s="12">
        <v>0.25972222222222224</v>
      </c>
      <c r="F11" s="12"/>
      <c r="G11" s="12">
        <v>0.2875</v>
      </c>
      <c r="H11" s="12"/>
      <c r="I11" s="12">
        <v>0.32916666666666666</v>
      </c>
      <c r="J11" s="12"/>
      <c r="K11" s="12">
        <v>0.49583333333333335</v>
      </c>
      <c r="L11" s="12"/>
      <c r="M11" s="12">
        <v>0.6208333333333333</v>
      </c>
      <c r="N11" s="12"/>
      <c r="O11" s="12">
        <v>0.6625</v>
      </c>
      <c r="P11" s="12"/>
      <c r="Q11" s="12">
        <v>0.7597222222222222</v>
      </c>
      <c r="R11" s="12"/>
      <c r="S11" s="12"/>
      <c r="T11" s="12"/>
    </row>
    <row r="12">
      <c r="A12" s="1" t="s">
        <v>99</v>
      </c>
      <c r="B12" s="11" t="s">
        <v>100</v>
      </c>
      <c r="C12" s="12">
        <v>0.22083333333333333</v>
      </c>
      <c r="D12" s="12"/>
      <c r="E12" s="12">
        <v>0.2625</v>
      </c>
      <c r="F12" s="12"/>
      <c r="G12" s="12">
        <v>0.2902777777777778</v>
      </c>
      <c r="H12" s="12"/>
      <c r="I12" s="12">
        <v>0.33194444444444443</v>
      </c>
      <c r="J12" s="12"/>
      <c r="K12" s="12">
        <v>0.4986111111111111</v>
      </c>
      <c r="L12" s="12"/>
      <c r="M12" s="12">
        <v>0.6236111111111111</v>
      </c>
      <c r="N12" s="12"/>
      <c r="O12" s="12">
        <v>0.6652777777777777</v>
      </c>
      <c r="P12" s="12"/>
      <c r="Q12" s="12">
        <v>0.7625</v>
      </c>
      <c r="R12" s="12"/>
      <c r="S12" s="12"/>
      <c r="T12" s="12"/>
    </row>
    <row r="13">
      <c r="A13" s="1" t="s">
        <v>95</v>
      </c>
      <c r="B13" s="11" t="s">
        <v>96</v>
      </c>
      <c r="C13" s="12">
        <v>0.22291666666666668</v>
      </c>
      <c r="D13" s="12"/>
      <c r="E13" s="12">
        <v>0.26458333333333334</v>
      </c>
      <c r="F13" s="12"/>
      <c r="G13" s="12">
        <v>0.2923611111111111</v>
      </c>
      <c r="H13" s="12"/>
      <c r="I13" s="12">
        <v>0.33402777777777776</v>
      </c>
      <c r="J13" s="12"/>
      <c r="K13" s="12">
        <v>0.5006944444444444</v>
      </c>
      <c r="L13" s="12"/>
      <c r="M13" s="12">
        <v>0.6256944444444444</v>
      </c>
      <c r="N13" s="12"/>
      <c r="O13" s="12">
        <v>0.6673611111111111</v>
      </c>
      <c r="P13" s="12"/>
      <c r="Q13" s="12">
        <v>0.7645833333333333</v>
      </c>
    </row>
    <row r="14">
      <c r="A14" s="1" t="s">
        <v>91</v>
      </c>
      <c r="B14" s="11" t="s">
        <v>92</v>
      </c>
      <c r="C14" s="12">
        <v>0.22777777777777777</v>
      </c>
      <c r="D14" s="12"/>
      <c r="E14" s="12">
        <v>0.26944444444444443</v>
      </c>
      <c r="F14" s="12"/>
      <c r="G14" s="12">
        <v>0.2972222222222222</v>
      </c>
      <c r="H14" s="12"/>
      <c r="I14" s="12">
        <v>0.3388888888888889</v>
      </c>
      <c r="J14" s="12"/>
      <c r="K14" s="12">
        <v>0.5055555555555555</v>
      </c>
      <c r="L14" s="12"/>
      <c r="M14" s="12">
        <v>0.6305555555555555</v>
      </c>
      <c r="N14" s="12"/>
      <c r="O14" s="12">
        <v>0.6722222222222223</v>
      </c>
      <c r="P14" s="12"/>
      <c r="Q14" s="12">
        <v>0.7694444444444445</v>
      </c>
    </row>
    <row r="15">
      <c r="A15" s="1" t="s">
        <v>87</v>
      </c>
      <c r="B15" s="11" t="s">
        <v>88</v>
      </c>
      <c r="C15" s="12">
        <v>0.22916666666666666</v>
      </c>
      <c r="D15" s="12"/>
      <c r="E15" s="12">
        <v>0.2708333333333333</v>
      </c>
      <c r="F15" s="12"/>
      <c r="G15" s="12">
        <v>0.2986111111111111</v>
      </c>
      <c r="H15" s="12"/>
      <c r="I15" s="12">
        <v>0.3402777777777778</v>
      </c>
      <c r="J15" s="12"/>
      <c r="K15" s="12">
        <v>0.5069444444444444</v>
      </c>
      <c r="L15" s="12"/>
      <c r="M15" s="12">
        <v>0.6319444444444444</v>
      </c>
      <c r="N15" s="12"/>
      <c r="O15" s="12">
        <v>0.6736111111111112</v>
      </c>
      <c r="P15" s="12"/>
      <c r="Q15" s="12">
        <v>0.7708333333333334</v>
      </c>
      <c r="R15" s="12"/>
      <c r="S15" s="12"/>
      <c r="T15" s="12"/>
    </row>
    <row r="16">
      <c r="A16" s="1" t="s">
        <v>59</v>
      </c>
      <c r="B16" s="11" t="s">
        <v>60</v>
      </c>
      <c r="C16" s="12">
        <v>0.23333333333333334</v>
      </c>
      <c r="D16" s="12"/>
      <c r="E16" s="12">
        <v>0.275</v>
      </c>
      <c r="F16" s="12"/>
      <c r="G16" s="12">
        <v>0.30277777777777776</v>
      </c>
      <c r="H16" s="12"/>
      <c r="I16" s="12">
        <v>0.34444444444444444</v>
      </c>
      <c r="J16" s="12"/>
      <c r="K16" s="12">
        <v>0.5111111111111111</v>
      </c>
      <c r="L16" s="12"/>
      <c r="M16" s="12">
        <v>0.6361111111111111</v>
      </c>
      <c r="N16" s="12"/>
      <c r="O16" s="12">
        <v>0.6777777777777778</v>
      </c>
      <c r="P16" s="12"/>
      <c r="Q16" s="12">
        <v>0.775</v>
      </c>
      <c r="R16" s="12"/>
      <c r="S16" s="12"/>
      <c r="T16" s="12"/>
    </row>
    <row r="17">
      <c r="A17" s="18" t="s">
        <v>61</v>
      </c>
      <c r="B17" s="16" t="s">
        <v>62</v>
      </c>
      <c r="C17" s="12">
        <v>0.23680555555555555</v>
      </c>
      <c r="D17" s="12"/>
      <c r="E17" s="12">
        <v>0.27847222222222223</v>
      </c>
      <c r="F17" s="12"/>
      <c r="G17" s="12">
        <v>0.30625</v>
      </c>
      <c r="H17" s="12"/>
      <c r="I17" s="12">
        <v>0.34791666666666665</v>
      </c>
      <c r="J17" s="12"/>
      <c r="K17" s="12">
        <v>0.5145833333333333</v>
      </c>
      <c r="L17" s="12"/>
      <c r="M17" s="12">
        <v>0.6395833333333333</v>
      </c>
      <c r="N17" s="12"/>
      <c r="O17" s="12">
        <v>0.68125</v>
      </c>
      <c r="P17" s="12"/>
      <c r="Q17" s="12">
        <v>0.7784722222222222</v>
      </c>
      <c r="R17" s="17"/>
      <c r="S17" s="17"/>
      <c r="T17" s="17"/>
    </row>
    <row r="18">
      <c r="A18" s="18"/>
      <c r="B18" s="19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8"/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</row>
    <row r="22">
      <c r="A22" s="16"/>
      <c r="B22" s="16"/>
      <c r="C22" s="17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/>
      <c r="R22" s="17"/>
      <c r="S22" s="17"/>
      <c r="T22" s="17"/>
    </row>
    <row r="23">
      <c r="A23" s="16"/>
      <c r="B23" s="19"/>
      <c r="C23" s="16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6"/>
      <c r="P23" s="17"/>
      <c r="Q23" s="17"/>
      <c r="R23" s="17"/>
      <c r="S23" s="17"/>
      <c r="T23" s="17"/>
    </row>
    <row r="24">
      <c r="A24" s="16"/>
      <c r="B24" s="19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  <c r="O24" s="16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>
      <c r="A29" s="16"/>
      <c r="B29" s="19"/>
      <c r="C29" s="16"/>
      <c r="D29" s="19"/>
      <c r="E29" s="16"/>
      <c r="F29" s="19"/>
      <c r="G29" s="16"/>
      <c r="H29" s="19"/>
      <c r="I29" s="16"/>
      <c r="J29" s="19"/>
      <c r="K29" s="16"/>
      <c r="L29" s="19"/>
      <c r="M29" s="16"/>
      <c r="N29" s="19"/>
      <c r="O29" s="16"/>
      <c r="P29" s="19"/>
    </row>
    <row r="30">
      <c r="A30" s="16"/>
      <c r="B30" s="19"/>
      <c r="C30" s="16"/>
      <c r="D30" s="19"/>
      <c r="E30" s="16"/>
      <c r="F30" s="19"/>
      <c r="G30" s="16"/>
      <c r="H30" s="19"/>
      <c r="I30" s="16"/>
      <c r="J30" s="19"/>
      <c r="K30" s="16"/>
      <c r="L30" s="19"/>
      <c r="M30" s="16"/>
      <c r="N30" s="19"/>
      <c r="O30" s="16"/>
      <c r="P30" s="19"/>
    </row>
    <row r="31">
      <c r="A31" s="16"/>
      <c r="B31" s="17"/>
      <c r="C31" s="16"/>
      <c r="D31" s="19"/>
      <c r="E31" s="16"/>
      <c r="F31" s="19"/>
      <c r="G31" s="16"/>
      <c r="H31" s="19"/>
      <c r="I31" s="16"/>
      <c r="J31" s="19"/>
      <c r="K31" s="16"/>
      <c r="L31" s="19"/>
      <c r="M31" s="16"/>
      <c r="N31" s="19"/>
      <c r="O31" s="16"/>
      <c r="P31" s="19"/>
    </row>
    <row r="32">
      <c r="A32" s="16"/>
      <c r="B32" s="19"/>
      <c r="C32" s="16"/>
      <c r="D32" s="19"/>
      <c r="E32" s="16"/>
      <c r="F32" s="19"/>
      <c r="G32" s="16"/>
      <c r="H32" s="19"/>
      <c r="I32" s="16"/>
      <c r="J32" s="19"/>
      <c r="K32" s="16"/>
      <c r="L32" s="19"/>
      <c r="M32" s="16"/>
      <c r="N32" s="19"/>
      <c r="O32" s="16"/>
      <c r="P32" s="19"/>
    </row>
    <row r="33">
      <c r="A33" s="16"/>
      <c r="B33" s="19"/>
      <c r="C33" s="16"/>
      <c r="D33" s="19"/>
      <c r="E33" s="16"/>
      <c r="F33" s="19"/>
      <c r="G33" s="16"/>
      <c r="H33" s="19"/>
      <c r="I33" s="16"/>
      <c r="J33" s="19"/>
      <c r="K33" s="16"/>
      <c r="L33" s="19"/>
      <c r="M33" s="16"/>
      <c r="N33" s="19"/>
      <c r="O33" s="16"/>
      <c r="P33" s="19"/>
    </row>
    <row r="34">
      <c r="A34" s="16"/>
      <c r="B34" s="19"/>
      <c r="C34" s="16"/>
      <c r="D34" s="19"/>
      <c r="E34" s="16"/>
      <c r="F34" s="19"/>
      <c r="G34" s="16"/>
      <c r="H34" s="19"/>
      <c r="I34" s="16"/>
      <c r="J34" s="19"/>
      <c r="K34" s="16"/>
      <c r="L34" s="19"/>
      <c r="M34" s="16"/>
      <c r="N34" s="19"/>
      <c r="O34" s="16"/>
      <c r="P34" s="19"/>
    </row>
    <row r="35">
      <c r="A35" s="16"/>
      <c r="B35" s="19"/>
      <c r="C35" s="16"/>
      <c r="D35" s="19"/>
      <c r="E35" s="16"/>
      <c r="F35" s="19"/>
      <c r="G35" s="16"/>
      <c r="H35" s="19"/>
      <c r="I35" s="16"/>
      <c r="J35" s="19"/>
      <c r="K35" s="16"/>
      <c r="L35" s="19"/>
      <c r="M35" s="16"/>
      <c r="N35" s="19"/>
      <c r="O35" s="16"/>
      <c r="P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>
      <c r="A37" s="16"/>
      <c r="B37" s="19"/>
      <c r="C37" s="16"/>
      <c r="D37" s="19"/>
      <c r="E37" s="16"/>
      <c r="F37" s="19"/>
      <c r="G37" s="16"/>
      <c r="H37" s="19"/>
      <c r="I37" s="16"/>
      <c r="J37" s="19"/>
      <c r="K37" s="16"/>
      <c r="L37" s="19"/>
      <c r="M37" s="16"/>
      <c r="N37" s="19"/>
      <c r="O37" s="16"/>
      <c r="P37" s="19"/>
    </row>
    <row r="38">
      <c r="A38" s="16"/>
      <c r="B38" s="19"/>
      <c r="C38" s="16"/>
      <c r="D38" s="19"/>
      <c r="E38" s="16"/>
      <c r="F38" s="19"/>
      <c r="G38" s="16"/>
      <c r="H38" s="19"/>
      <c r="I38" s="16"/>
      <c r="J38" s="19"/>
      <c r="K38" s="16"/>
      <c r="L38" s="19"/>
      <c r="M38" s="16"/>
      <c r="N38" s="19"/>
      <c r="O38" s="16"/>
      <c r="P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>
      <c r="A40" s="16"/>
      <c r="B40" s="19"/>
      <c r="C40" s="16"/>
      <c r="D40" s="19"/>
      <c r="E40" s="16"/>
      <c r="F40" s="19"/>
      <c r="G40" s="16"/>
      <c r="H40" s="19"/>
      <c r="I40" s="16"/>
      <c r="J40" s="19"/>
      <c r="K40" s="16"/>
      <c r="L40" s="19"/>
      <c r="M40" s="16"/>
      <c r="N40" s="19"/>
      <c r="O40" s="16"/>
      <c r="P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>
      <c r="A42" s="36"/>
    </row>
    <row r="43">
      <c r="A43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31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9006.0</v>
      </c>
      <c r="D2" s="39" t="s">
        <v>113</v>
      </c>
      <c r="E2" s="39" t="s">
        <v>114</v>
      </c>
      <c r="F2" s="39" t="s">
        <v>115</v>
      </c>
      <c r="G2" s="39" t="s">
        <v>116</v>
      </c>
      <c r="H2" s="39" t="s">
        <v>117</v>
      </c>
      <c r="I2" s="39" t="s">
        <v>118</v>
      </c>
      <c r="J2" s="39" t="s">
        <v>119</v>
      </c>
      <c r="K2" s="39" t="s">
        <v>120</v>
      </c>
      <c r="L2" s="39" t="s">
        <v>121</v>
      </c>
      <c r="M2" s="39" t="s">
        <v>122</v>
      </c>
      <c r="N2" s="39" t="s">
        <v>123</v>
      </c>
      <c r="O2" s="39" t="s">
        <v>124</v>
      </c>
      <c r="P2" s="39" t="s">
        <v>125</v>
      </c>
      <c r="Q2" s="39" t="s">
        <v>126</v>
      </c>
      <c r="R2" s="39" t="s">
        <v>127</v>
      </c>
      <c r="S2" s="39" t="s">
        <v>128</v>
      </c>
      <c r="T2" s="39" t="s">
        <v>129</v>
      </c>
      <c r="U2" s="39" t="s">
        <v>130</v>
      </c>
      <c r="V2" s="22"/>
      <c r="W2" s="22"/>
      <c r="X2" s="22"/>
      <c r="Y2" s="22"/>
      <c r="Z2" s="22"/>
      <c r="AA2" s="22"/>
    </row>
    <row r="3">
      <c r="A3" s="34" t="s">
        <v>55</v>
      </c>
      <c r="B3" s="8" t="s">
        <v>56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0"/>
      <c r="W3" s="10"/>
      <c r="X3" s="10"/>
      <c r="Y3" s="10"/>
      <c r="Z3" s="10"/>
      <c r="AA3" s="10"/>
    </row>
    <row r="4">
      <c r="A4" s="34" t="s">
        <v>59</v>
      </c>
      <c r="B4" s="8" t="s">
        <v>60</v>
      </c>
      <c r="C4" s="12">
        <v>0.14583333333333334</v>
      </c>
      <c r="D4" s="12">
        <v>0.15625</v>
      </c>
      <c r="E4" s="12">
        <v>0.17708333333333334</v>
      </c>
      <c r="F4" s="12">
        <v>0.19791666666666666</v>
      </c>
      <c r="G4" s="12">
        <v>0.21875</v>
      </c>
      <c r="H4" s="12">
        <v>0.23958333333333334</v>
      </c>
      <c r="I4" s="12">
        <v>0.2604166666666667</v>
      </c>
      <c r="J4" s="12">
        <v>0.28125</v>
      </c>
      <c r="K4" s="12">
        <v>0.3229166666666667</v>
      </c>
      <c r="L4" s="12">
        <v>0.40625</v>
      </c>
      <c r="M4" s="12">
        <v>0.4895833333333333</v>
      </c>
      <c r="N4" s="12">
        <v>0.5729166666666666</v>
      </c>
      <c r="O4" s="12">
        <v>0.65625</v>
      </c>
      <c r="P4" s="12">
        <v>0.6770833333333334</v>
      </c>
      <c r="Q4" s="12">
        <v>0.6979166666666666</v>
      </c>
      <c r="R4" s="12">
        <v>0.71875</v>
      </c>
      <c r="S4" s="12">
        <v>0.7395833333333334</v>
      </c>
      <c r="T4" s="12">
        <v>0.7604166666666666</v>
      </c>
      <c r="U4" s="12">
        <v>0.78125</v>
      </c>
      <c r="V4" s="10"/>
      <c r="W4" s="10"/>
      <c r="X4" s="10"/>
      <c r="Y4" s="10"/>
      <c r="Z4" s="10"/>
      <c r="AA4" s="10"/>
    </row>
    <row r="5">
      <c r="A5" s="34" t="s">
        <v>61</v>
      </c>
      <c r="B5" s="11" t="s">
        <v>62</v>
      </c>
      <c r="C5" s="12">
        <v>0.1486111111111111</v>
      </c>
      <c r="D5" s="12">
        <v>0.1597222222222222</v>
      </c>
      <c r="E5" s="12">
        <v>0.18055555555555555</v>
      </c>
      <c r="F5" s="12">
        <v>0.2013888888888889</v>
      </c>
      <c r="G5" s="12">
        <v>0.2222222222222222</v>
      </c>
      <c r="H5" s="12">
        <v>0.24305555555555555</v>
      </c>
      <c r="I5" s="12">
        <v>0.2638888888888889</v>
      </c>
      <c r="J5" s="12">
        <v>0.2847222222222222</v>
      </c>
      <c r="K5" s="12">
        <v>0.3263888888888889</v>
      </c>
      <c r="L5" s="12">
        <v>0.4097222222222222</v>
      </c>
      <c r="M5" s="12">
        <v>0.4930555555555556</v>
      </c>
      <c r="N5" s="12">
        <v>0.5763888888888888</v>
      </c>
      <c r="O5" s="12">
        <v>0.6597222222222222</v>
      </c>
      <c r="P5" s="12">
        <v>0.6805555555555556</v>
      </c>
      <c r="Q5" s="12">
        <v>0.7013888888888888</v>
      </c>
      <c r="R5" s="12">
        <v>0.7222222222222222</v>
      </c>
      <c r="S5" s="12">
        <v>0.7430555555555556</v>
      </c>
      <c r="T5" s="12">
        <v>0.7638888888888888</v>
      </c>
      <c r="U5" s="12">
        <v>0.7847222222222222</v>
      </c>
    </row>
    <row r="6">
      <c r="A6" s="1" t="s">
        <v>63</v>
      </c>
      <c r="B6" s="11" t="s">
        <v>131</v>
      </c>
      <c r="C6" s="12">
        <v>0.15</v>
      </c>
      <c r="D6" s="12">
        <v>0.16180555555555556</v>
      </c>
      <c r="E6" s="12">
        <v>0.18263888888888888</v>
      </c>
      <c r="F6" s="12">
        <v>0.20347222222222222</v>
      </c>
      <c r="G6" s="12">
        <v>0.22430555555555556</v>
      </c>
      <c r="H6" s="12">
        <v>0.24513888888888888</v>
      </c>
      <c r="I6" s="12">
        <v>0.2659722222222222</v>
      </c>
      <c r="J6" s="12">
        <v>0.28680555555555554</v>
      </c>
      <c r="K6" s="12">
        <v>0.3284722222222222</v>
      </c>
      <c r="L6" s="12">
        <v>0.41180555555555554</v>
      </c>
      <c r="M6" s="12">
        <v>0.4951388888888889</v>
      </c>
      <c r="N6" s="12">
        <v>0.5784722222222223</v>
      </c>
      <c r="O6" s="12">
        <v>0.6618055555555555</v>
      </c>
      <c r="P6" s="12">
        <v>0.6826388888888889</v>
      </c>
      <c r="Q6" s="12">
        <v>0.7034722222222223</v>
      </c>
      <c r="R6" s="12">
        <v>0.7243055555555555</v>
      </c>
      <c r="S6" s="12">
        <v>0.7451388888888889</v>
      </c>
      <c r="T6" s="12">
        <v>0.7659722222222223</v>
      </c>
      <c r="U6" s="12">
        <v>0.7868055555555555</v>
      </c>
    </row>
    <row r="7">
      <c r="A7" s="1" t="s">
        <v>65</v>
      </c>
      <c r="B7" s="11" t="s">
        <v>132</v>
      </c>
      <c r="C7" s="12">
        <v>0.15347222222222223</v>
      </c>
      <c r="D7" s="12">
        <v>0.16597222222222222</v>
      </c>
      <c r="E7" s="12">
        <v>0.18680555555555556</v>
      </c>
      <c r="F7" s="12">
        <v>0.2076388888888889</v>
      </c>
      <c r="G7" s="12">
        <v>0.22847222222222222</v>
      </c>
      <c r="H7" s="12">
        <v>0.24930555555555556</v>
      </c>
      <c r="I7" s="12">
        <v>0.2701388888888889</v>
      </c>
      <c r="J7" s="12">
        <v>0.29097222222222224</v>
      </c>
      <c r="K7" s="12">
        <v>0.3326388888888889</v>
      </c>
      <c r="L7" s="12">
        <v>0.41597222222222224</v>
      </c>
      <c r="M7" s="12">
        <v>0.49930555555555556</v>
      </c>
      <c r="N7" s="12">
        <v>0.5826388888888889</v>
      </c>
      <c r="O7" s="12">
        <v>0.6659722222222222</v>
      </c>
      <c r="P7" s="12">
        <v>0.6868055555555556</v>
      </c>
      <c r="Q7" s="12">
        <v>0.7076388888888889</v>
      </c>
      <c r="R7" s="12">
        <v>0.7284722222222222</v>
      </c>
      <c r="S7" s="12">
        <v>0.7493055555555556</v>
      </c>
      <c r="T7" s="12">
        <v>0.7701388888888889</v>
      </c>
      <c r="U7" s="12">
        <v>0.7909722222222222</v>
      </c>
    </row>
    <row r="8">
      <c r="A8" s="1" t="s">
        <v>67</v>
      </c>
      <c r="B8" s="11" t="s">
        <v>133</v>
      </c>
      <c r="C8" s="12">
        <v>0.15625</v>
      </c>
      <c r="D8" s="12">
        <v>0.16944444444444445</v>
      </c>
      <c r="E8" s="12">
        <v>0.19027777777777777</v>
      </c>
      <c r="F8" s="12">
        <v>0.2111111111111111</v>
      </c>
      <c r="G8" s="12">
        <v>0.23194444444444445</v>
      </c>
      <c r="H8" s="12">
        <v>0.25277777777777777</v>
      </c>
      <c r="I8" s="12">
        <v>0.27361111111111114</v>
      </c>
      <c r="J8" s="12">
        <v>0.29444444444444445</v>
      </c>
      <c r="K8" s="12">
        <v>0.33611111111111114</v>
      </c>
      <c r="L8" s="12">
        <v>0.41944444444444445</v>
      </c>
      <c r="M8" s="12">
        <v>0.5027777777777778</v>
      </c>
      <c r="N8" s="12">
        <v>0.5861111111111111</v>
      </c>
      <c r="O8" s="12">
        <v>0.6694444444444444</v>
      </c>
      <c r="P8" s="12">
        <v>0.6902777777777778</v>
      </c>
      <c r="Q8" s="12">
        <v>0.7111111111111111</v>
      </c>
      <c r="R8" s="12">
        <v>0.7319444444444444</v>
      </c>
      <c r="S8" s="12">
        <v>0.7527777777777778</v>
      </c>
      <c r="T8" s="12">
        <v>0.7736111111111111</v>
      </c>
      <c r="U8" s="12">
        <v>0.7944444444444444</v>
      </c>
    </row>
    <row r="9">
      <c r="A9" s="1" t="s">
        <v>69</v>
      </c>
      <c r="B9" s="11" t="s">
        <v>139</v>
      </c>
      <c r="C9" s="12">
        <v>0.15833333333333333</v>
      </c>
      <c r="D9" s="12">
        <v>0.17222222222222222</v>
      </c>
      <c r="E9" s="12">
        <v>0.19305555555555556</v>
      </c>
      <c r="F9" s="12">
        <v>0.21388888888888888</v>
      </c>
      <c r="G9" s="12">
        <v>0.23472222222222222</v>
      </c>
      <c r="H9" s="12">
        <v>0.25555555555555554</v>
      </c>
      <c r="I9" s="12">
        <v>0.2763888888888889</v>
      </c>
      <c r="J9" s="12">
        <v>0.2972222222222222</v>
      </c>
      <c r="K9" s="12">
        <v>0.3388888888888889</v>
      </c>
      <c r="L9" s="12">
        <v>0.4222222222222222</v>
      </c>
      <c r="M9" s="12">
        <v>0.5055555555555555</v>
      </c>
      <c r="N9" s="12">
        <v>0.5888888888888889</v>
      </c>
      <c r="O9" s="12">
        <v>0.6722222222222223</v>
      </c>
      <c r="P9" s="12">
        <v>0.6930555555555555</v>
      </c>
      <c r="Q9" s="12">
        <v>0.7138888888888889</v>
      </c>
      <c r="R9" s="12">
        <v>0.7347222222222223</v>
      </c>
      <c r="S9" s="12">
        <v>0.7555555555555555</v>
      </c>
      <c r="T9" s="12">
        <v>0.7763888888888889</v>
      </c>
      <c r="U9" s="12">
        <v>0.7972222222222223</v>
      </c>
    </row>
    <row r="10">
      <c r="A10" s="1" t="s">
        <v>75</v>
      </c>
      <c r="B10" s="11" t="s">
        <v>76</v>
      </c>
      <c r="C10" s="12">
        <v>0.16319444444444445</v>
      </c>
      <c r="D10" s="12">
        <v>0.17777777777777778</v>
      </c>
      <c r="E10" s="12">
        <v>0.1986111111111111</v>
      </c>
      <c r="F10" s="12">
        <v>0.21944444444444444</v>
      </c>
      <c r="G10" s="12">
        <v>0.24027777777777778</v>
      </c>
      <c r="H10" s="12">
        <v>0.2611111111111111</v>
      </c>
      <c r="I10" s="12">
        <v>0.28194444444444444</v>
      </c>
      <c r="J10" s="12">
        <v>0.30277777777777776</v>
      </c>
      <c r="K10" s="12">
        <v>0.34444444444444444</v>
      </c>
      <c r="L10" s="12">
        <v>0.42777777777777776</v>
      </c>
      <c r="M10" s="12">
        <v>0.5111111111111111</v>
      </c>
      <c r="N10" s="12">
        <v>0.5944444444444444</v>
      </c>
      <c r="O10" s="12">
        <v>0.6777777777777778</v>
      </c>
      <c r="P10" s="12">
        <v>0.6986111111111111</v>
      </c>
      <c r="Q10" s="12">
        <v>0.7194444444444444</v>
      </c>
      <c r="R10" s="12">
        <v>0.7402777777777778</v>
      </c>
      <c r="S10" s="12">
        <v>0.7611111111111111</v>
      </c>
      <c r="T10" s="12">
        <v>0.7819444444444444</v>
      </c>
      <c r="U10" s="12">
        <v>0.8027777777777778</v>
      </c>
    </row>
    <row r="11">
      <c r="A11" s="1" t="s">
        <v>80</v>
      </c>
      <c r="B11" s="11" t="s">
        <v>155</v>
      </c>
      <c r="C11" s="12">
        <v>0.1673611111111111</v>
      </c>
      <c r="D11" s="12">
        <v>0.18263888888888888</v>
      </c>
      <c r="E11" s="12">
        <v>0.20347222222222222</v>
      </c>
      <c r="F11" s="12">
        <v>0.22430555555555556</v>
      </c>
      <c r="G11" s="12">
        <v>0.24513888888888888</v>
      </c>
      <c r="H11" s="12">
        <v>0.2659722222222222</v>
      </c>
      <c r="I11" s="12">
        <v>0.28680555555555554</v>
      </c>
      <c r="J11" s="12">
        <v>0.3076388888888889</v>
      </c>
      <c r="K11" s="12">
        <v>0.34930555555555554</v>
      </c>
      <c r="L11" s="12">
        <v>0.4326388888888889</v>
      </c>
      <c r="M11" s="12">
        <v>0.5159722222222223</v>
      </c>
      <c r="N11" s="12">
        <v>0.5993055555555555</v>
      </c>
      <c r="O11" s="12">
        <v>0.6826388888888889</v>
      </c>
      <c r="P11" s="12">
        <v>0.7034722222222223</v>
      </c>
      <c r="Q11" s="12">
        <v>0.7243055555555555</v>
      </c>
      <c r="R11" s="12">
        <v>0.7451388888888889</v>
      </c>
      <c r="S11" s="12">
        <v>0.7659722222222223</v>
      </c>
      <c r="T11" s="12">
        <v>0.7868055555555555</v>
      </c>
      <c r="U11" s="12">
        <v>0.8076388888888889</v>
      </c>
    </row>
    <row r="12">
      <c r="A12" s="1" t="s">
        <v>85</v>
      </c>
      <c r="B12" s="11" t="s">
        <v>156</v>
      </c>
      <c r="C12" s="12">
        <v>0.1701388888888889</v>
      </c>
      <c r="D12" s="12">
        <v>0.1875</v>
      </c>
      <c r="E12" s="12">
        <v>0.20833333333333334</v>
      </c>
      <c r="F12" s="12">
        <v>0.22916666666666666</v>
      </c>
      <c r="G12" s="12">
        <v>0.25</v>
      </c>
      <c r="H12" s="12">
        <v>0.2708333333333333</v>
      </c>
      <c r="I12" s="12">
        <v>0.2916666666666667</v>
      </c>
      <c r="J12" s="12">
        <v>0.3125</v>
      </c>
      <c r="K12" s="12">
        <v>0.3541666666666667</v>
      </c>
      <c r="L12" s="12">
        <v>0.4375</v>
      </c>
      <c r="M12" s="12">
        <v>0.5208333333333334</v>
      </c>
      <c r="N12" s="12">
        <v>0.6041666666666666</v>
      </c>
      <c r="O12" s="12">
        <v>0.6875</v>
      </c>
      <c r="P12" s="12">
        <v>0.7083333333333334</v>
      </c>
      <c r="Q12" s="12">
        <v>0.7291666666666666</v>
      </c>
      <c r="R12" s="12">
        <v>0.75</v>
      </c>
      <c r="S12" s="12">
        <v>0.7708333333333334</v>
      </c>
      <c r="T12" s="12">
        <v>0.7916666666666666</v>
      </c>
      <c r="U12" s="12">
        <v>0.8125</v>
      </c>
    </row>
    <row r="13">
      <c r="A13" s="1" t="s">
        <v>83</v>
      </c>
      <c r="B13" s="11" t="s">
        <v>159</v>
      </c>
      <c r="C13" s="12">
        <v>0.175</v>
      </c>
      <c r="D13" s="12">
        <v>0.19305555555555556</v>
      </c>
      <c r="E13" s="12">
        <v>0.21388888888888888</v>
      </c>
      <c r="F13" s="12">
        <v>0.23472222222222222</v>
      </c>
      <c r="G13" s="12">
        <v>0.25555555555555554</v>
      </c>
      <c r="H13" s="12">
        <v>0.2763888888888889</v>
      </c>
      <c r="I13" s="12">
        <v>0.2972222222222222</v>
      </c>
      <c r="J13" s="12">
        <v>0.31805555555555554</v>
      </c>
      <c r="K13" s="12">
        <v>0.3597222222222222</v>
      </c>
      <c r="L13" s="12">
        <v>0.44305555555555554</v>
      </c>
      <c r="M13" s="12">
        <v>0.5263888888888889</v>
      </c>
      <c r="N13" s="12">
        <v>0.6097222222222223</v>
      </c>
      <c r="O13" s="12">
        <v>0.6930555555555555</v>
      </c>
      <c r="P13" s="12">
        <v>0.7138888888888889</v>
      </c>
      <c r="Q13" s="12">
        <v>0.7347222222222223</v>
      </c>
      <c r="R13" s="12">
        <v>0.7555555555555555</v>
      </c>
      <c r="S13" s="12">
        <v>0.7763888888888889</v>
      </c>
      <c r="T13" s="12">
        <v>0.7972222222222223</v>
      </c>
      <c r="U13" s="12">
        <v>0.8180555555555555</v>
      </c>
    </row>
    <row r="14">
      <c r="A14" s="1" t="s">
        <v>161</v>
      </c>
      <c r="B14" s="11" t="s">
        <v>163</v>
      </c>
      <c r="C14" s="12">
        <v>0.1763888888888889</v>
      </c>
      <c r="D14" s="12">
        <v>0.1951388888888889</v>
      </c>
      <c r="E14" s="12">
        <v>0.21597222222222223</v>
      </c>
      <c r="F14" s="12">
        <v>0.23680555555555555</v>
      </c>
      <c r="G14" s="12">
        <v>0.25763888888888886</v>
      </c>
      <c r="H14" s="12">
        <v>0.27847222222222223</v>
      </c>
      <c r="I14" s="12">
        <v>0.29930555555555555</v>
      </c>
      <c r="J14" s="12">
        <v>0.32013888888888886</v>
      </c>
      <c r="K14" s="12">
        <v>0.36180555555555555</v>
      </c>
      <c r="L14" s="12">
        <v>0.44513888888888886</v>
      </c>
      <c r="M14" s="12">
        <v>0.5284722222222222</v>
      </c>
      <c r="N14" s="12">
        <v>0.6118055555555556</v>
      </c>
      <c r="O14" s="12">
        <v>0.6951388888888889</v>
      </c>
      <c r="P14" s="12">
        <v>0.7159722222222222</v>
      </c>
      <c r="Q14" s="12">
        <v>0.7368055555555556</v>
      </c>
      <c r="R14" s="12">
        <v>0.7576388888888889</v>
      </c>
      <c r="S14" s="12">
        <v>0.7784722222222222</v>
      </c>
      <c r="T14" s="12">
        <v>0.7993055555555556</v>
      </c>
      <c r="U14" s="12">
        <v>0.8201388888888889</v>
      </c>
    </row>
    <row r="15">
      <c r="A15" s="1" t="s">
        <v>164</v>
      </c>
      <c r="B15" s="11" t="s">
        <v>165</v>
      </c>
      <c r="C15" s="12">
        <v>0.17708333333333334</v>
      </c>
      <c r="D15" s="12">
        <v>0.19791666666666666</v>
      </c>
      <c r="E15" s="12">
        <v>0.21875</v>
      </c>
      <c r="F15" s="12">
        <v>0.23958333333333334</v>
      </c>
      <c r="G15" s="12">
        <v>0.2604166666666667</v>
      </c>
      <c r="H15" s="12">
        <v>0.28125</v>
      </c>
      <c r="I15" s="12">
        <v>0.3020833333333333</v>
      </c>
      <c r="J15" s="12">
        <v>0.3229166666666667</v>
      </c>
      <c r="K15" s="12">
        <v>0.3645833333333333</v>
      </c>
      <c r="L15" s="12">
        <v>0.4479166666666667</v>
      </c>
      <c r="M15" s="12">
        <v>0.53125</v>
      </c>
      <c r="N15" s="12">
        <v>0.6145833333333334</v>
      </c>
      <c r="O15" s="12">
        <v>0.6979166666666666</v>
      </c>
      <c r="P15" s="12">
        <v>0.71875</v>
      </c>
      <c r="Q15" s="12">
        <v>0.7395833333333334</v>
      </c>
      <c r="R15" s="12">
        <v>0.7604166666666666</v>
      </c>
      <c r="S15" s="12">
        <v>0.78125</v>
      </c>
      <c r="T15" s="12">
        <v>0.8020833333333334</v>
      </c>
      <c r="U15" s="12">
        <v>0.8229166666666666</v>
      </c>
    </row>
    <row r="16">
      <c r="A16" s="1" t="s">
        <v>168</v>
      </c>
      <c r="B16" s="11" t="s">
        <v>169</v>
      </c>
      <c r="C16" s="12">
        <v>0.18333333333333332</v>
      </c>
      <c r="D16" s="12">
        <v>0.20416666666666666</v>
      </c>
      <c r="E16" s="12">
        <v>0.225</v>
      </c>
      <c r="F16" s="12">
        <v>0.24583333333333332</v>
      </c>
      <c r="G16" s="12">
        <v>0.26666666666666666</v>
      </c>
      <c r="H16" s="12">
        <v>0.2875</v>
      </c>
      <c r="I16" s="12">
        <v>0.30833333333333335</v>
      </c>
      <c r="J16" s="12">
        <v>0.32916666666666666</v>
      </c>
      <c r="K16" s="12">
        <v>0.37083333333333335</v>
      </c>
      <c r="L16" s="12">
        <v>0.45416666666666666</v>
      </c>
      <c r="M16" s="12">
        <v>0.5375</v>
      </c>
      <c r="N16" s="12">
        <v>0.6208333333333333</v>
      </c>
      <c r="O16" s="12">
        <v>0.7041666666666667</v>
      </c>
      <c r="P16" s="12">
        <v>0.725</v>
      </c>
      <c r="Q16" s="12">
        <v>0.7458333333333333</v>
      </c>
      <c r="R16" s="12">
        <v>0.7666666666666667</v>
      </c>
      <c r="S16" s="12">
        <v>0.7875</v>
      </c>
      <c r="T16" s="12">
        <v>0.8083333333333333</v>
      </c>
      <c r="U16" s="12">
        <v>0.8291666666666667</v>
      </c>
    </row>
    <row r="17">
      <c r="A17" s="1" t="s">
        <v>170</v>
      </c>
      <c r="B17" s="11" t="s">
        <v>171</v>
      </c>
      <c r="C17" s="12">
        <v>0.18541666666666667</v>
      </c>
      <c r="D17" s="12">
        <v>0.2076388888888889</v>
      </c>
      <c r="E17" s="12">
        <v>0.22847222222222222</v>
      </c>
      <c r="F17" s="12">
        <v>0.24930555555555556</v>
      </c>
      <c r="G17" s="12">
        <v>0.2701388888888889</v>
      </c>
      <c r="H17" s="12">
        <v>0.29097222222222224</v>
      </c>
      <c r="I17" s="12">
        <v>0.31180555555555556</v>
      </c>
      <c r="J17" s="12">
        <v>0.3326388888888889</v>
      </c>
      <c r="K17" s="12">
        <v>0.37430555555555556</v>
      </c>
      <c r="L17" s="12">
        <v>0.4576388888888889</v>
      </c>
      <c r="M17" s="12">
        <v>0.5409722222222222</v>
      </c>
      <c r="N17" s="12">
        <v>0.6243055555555556</v>
      </c>
      <c r="O17" s="12">
        <v>0.7076388888888889</v>
      </c>
      <c r="P17" s="12">
        <v>0.7284722222222222</v>
      </c>
      <c r="Q17" s="12">
        <v>0.7493055555555556</v>
      </c>
      <c r="R17" s="12">
        <v>0.7701388888888889</v>
      </c>
      <c r="S17" s="12">
        <v>0.7909722222222222</v>
      </c>
      <c r="T17" s="12">
        <v>0.8118055555555556</v>
      </c>
      <c r="U17" s="12">
        <v>0.8326388888888889</v>
      </c>
    </row>
    <row r="18">
      <c r="A18" s="1" t="s">
        <v>166</v>
      </c>
      <c r="B18" s="11" t="s">
        <v>167</v>
      </c>
      <c r="C18" s="12">
        <v>0.19722222222222222</v>
      </c>
      <c r="D18" s="12">
        <v>0.21805555555555556</v>
      </c>
      <c r="E18" s="12">
        <v>0.2388888888888889</v>
      </c>
      <c r="F18" s="12">
        <v>0.25972222222222224</v>
      </c>
      <c r="G18" s="12">
        <v>0.28055555555555556</v>
      </c>
      <c r="H18" s="12">
        <v>0.3013888888888889</v>
      </c>
      <c r="I18" s="12">
        <v>0.32222222222222224</v>
      </c>
      <c r="J18" s="12">
        <v>0.34305555555555556</v>
      </c>
      <c r="K18" s="12">
        <v>0.38472222222222224</v>
      </c>
      <c r="L18" s="12">
        <v>0.46805555555555556</v>
      </c>
      <c r="M18" s="12">
        <v>0.5513888888888889</v>
      </c>
      <c r="N18" s="12">
        <v>0.6347222222222222</v>
      </c>
      <c r="O18" s="12">
        <v>0.7180555555555556</v>
      </c>
      <c r="P18" s="12">
        <v>0.7388888888888889</v>
      </c>
      <c r="Q18" s="12">
        <v>0.7597222222222222</v>
      </c>
      <c r="R18" s="12">
        <v>0.7805555555555556</v>
      </c>
      <c r="S18" s="12">
        <v>0.8013888888888889</v>
      </c>
      <c r="T18" s="12">
        <v>0.8222222222222222</v>
      </c>
      <c r="U18" s="12">
        <v>0.8430555555555556</v>
      </c>
    </row>
    <row r="19">
      <c r="A19" s="1" t="s">
        <v>160</v>
      </c>
      <c r="B19" s="11" t="s">
        <v>162</v>
      </c>
      <c r="C19" s="12">
        <v>0.19930555555555557</v>
      </c>
      <c r="D19" s="12">
        <v>0.22013888888888888</v>
      </c>
      <c r="E19" s="12">
        <v>0.24097222222222223</v>
      </c>
      <c r="F19" s="12">
        <v>0.26180555555555557</v>
      </c>
      <c r="G19" s="12">
        <v>0.2826388888888889</v>
      </c>
      <c r="H19" s="12">
        <v>0.3034722222222222</v>
      </c>
      <c r="I19" s="12">
        <v>0.32430555555555557</v>
      </c>
      <c r="J19" s="12">
        <v>0.3451388888888889</v>
      </c>
      <c r="K19" s="12">
        <v>0.38680555555555557</v>
      </c>
      <c r="L19" s="12">
        <v>0.4701388888888889</v>
      </c>
      <c r="M19" s="12">
        <v>0.5534722222222223</v>
      </c>
      <c r="N19" s="12">
        <v>0.6368055555555555</v>
      </c>
      <c r="O19" s="12">
        <v>0.7201388888888889</v>
      </c>
      <c r="P19" s="12">
        <v>0.7409722222222223</v>
      </c>
      <c r="Q19" s="12">
        <v>0.7618055555555555</v>
      </c>
      <c r="R19" s="12">
        <v>0.7826388888888889</v>
      </c>
      <c r="S19" s="12">
        <v>0.8034722222222223</v>
      </c>
      <c r="T19" s="12">
        <v>0.8243055555555555</v>
      </c>
      <c r="U19" s="12">
        <v>0.8451388888888889</v>
      </c>
    </row>
    <row r="20">
      <c r="A20" s="1" t="s">
        <v>157</v>
      </c>
      <c r="B20" s="11" t="s">
        <v>158</v>
      </c>
      <c r="C20" s="12">
        <v>0.20208333333333334</v>
      </c>
      <c r="D20" s="12">
        <v>0.22291666666666668</v>
      </c>
      <c r="E20" s="12">
        <v>0.24375</v>
      </c>
      <c r="F20" s="12">
        <v>0.26458333333333334</v>
      </c>
      <c r="G20" s="12">
        <v>0.28541666666666665</v>
      </c>
      <c r="H20" s="12">
        <v>0.30625</v>
      </c>
      <c r="I20" s="12">
        <v>0.32708333333333334</v>
      </c>
      <c r="J20" s="12">
        <v>0.34791666666666665</v>
      </c>
      <c r="K20" s="12">
        <v>0.38958333333333334</v>
      </c>
      <c r="L20" s="12">
        <v>0.47291666666666665</v>
      </c>
      <c r="M20" s="12">
        <v>0.55625</v>
      </c>
      <c r="N20" s="12">
        <v>0.6395833333333333</v>
      </c>
      <c r="O20" s="12">
        <v>0.7229166666666667</v>
      </c>
      <c r="P20" s="12">
        <v>0.74375</v>
      </c>
      <c r="Q20" s="12">
        <v>0.7645833333333333</v>
      </c>
      <c r="R20" s="12">
        <v>0.7854166666666667</v>
      </c>
      <c r="S20" s="12">
        <v>0.80625</v>
      </c>
      <c r="T20" s="12">
        <v>0.8270833333333333</v>
      </c>
      <c r="U20" s="12">
        <v>0.8479166666666667</v>
      </c>
    </row>
    <row r="21">
      <c r="A21" s="1" t="s">
        <v>153</v>
      </c>
      <c r="B21" s="16" t="s">
        <v>154</v>
      </c>
      <c r="C21" s="12">
        <v>0.20347222222222222</v>
      </c>
      <c r="D21" s="12">
        <v>0.22569444444444445</v>
      </c>
      <c r="E21" s="12">
        <v>0.2465277777777778</v>
      </c>
      <c r="F21" s="12">
        <v>0.2673611111111111</v>
      </c>
      <c r="G21" s="12">
        <v>0.2881944444444444</v>
      </c>
      <c r="H21" s="12">
        <v>0.3090277777777778</v>
      </c>
      <c r="I21" s="12">
        <v>0.3298611111111111</v>
      </c>
      <c r="J21" s="12">
        <v>0.3506944444444444</v>
      </c>
      <c r="K21" s="12">
        <v>0.3923611111111111</v>
      </c>
      <c r="L21" s="12">
        <v>0.4756944444444444</v>
      </c>
      <c r="M21" s="12">
        <v>0.5590277777777778</v>
      </c>
      <c r="N21" s="12">
        <v>0.6423611111111112</v>
      </c>
      <c r="O21" s="12">
        <v>0.7256944444444444</v>
      </c>
      <c r="P21" s="12">
        <v>0.7465277777777778</v>
      </c>
      <c r="Q21" s="12">
        <v>0.7673611111111112</v>
      </c>
      <c r="R21" s="12">
        <v>0.7881944444444444</v>
      </c>
      <c r="S21" s="12">
        <v>0.8090277777777778</v>
      </c>
      <c r="T21" s="12">
        <v>0.8298611111111112</v>
      </c>
      <c r="U21" s="12">
        <v>0.8506944444444444</v>
      </c>
    </row>
    <row r="22">
      <c r="A22" s="16"/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7"/>
      <c r="B23" s="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"/>
      <c r="B24" s="3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"/>
      <c r="B26" s="3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>
      <c r="A27" s="1"/>
      <c r="B27" s="3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6"/>
      <c r="B37" s="1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6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32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6"/>
      <c r="B46" s="19"/>
      <c r="C46" s="19"/>
      <c r="D46" s="19"/>
      <c r="E46" s="19"/>
      <c r="F46" s="19"/>
      <c r="G46" s="19"/>
      <c r="H46" s="19"/>
      <c r="I46" s="19"/>
      <c r="J46" s="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'DURBN-to-WINKL_Weekday'!B1</f>
        <v>46230</v>
      </c>
      <c r="C1" s="1" t="str">
        <f>'DURBN-to-WINKL_Weekday'!C1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134</v>
      </c>
      <c r="D2" s="39" t="s">
        <v>135</v>
      </c>
      <c r="E2" s="39" t="s">
        <v>136</v>
      </c>
      <c r="F2" s="39" t="s">
        <v>137</v>
      </c>
      <c r="G2" s="39" t="s">
        <v>138</v>
      </c>
      <c r="H2" s="39" t="s">
        <v>140</v>
      </c>
      <c r="I2" s="39" t="s">
        <v>141</v>
      </c>
      <c r="J2" s="39" t="s">
        <v>142</v>
      </c>
      <c r="K2" s="39" t="s">
        <v>143</v>
      </c>
      <c r="L2" s="39" t="s">
        <v>144</v>
      </c>
      <c r="M2" s="39" t="s">
        <v>145</v>
      </c>
      <c r="N2" s="39" t="s">
        <v>146</v>
      </c>
      <c r="O2" s="39" t="s">
        <v>147</v>
      </c>
      <c r="P2" s="39" t="s">
        <v>148</v>
      </c>
      <c r="Q2" s="39" t="s">
        <v>149</v>
      </c>
      <c r="R2" s="39" t="s">
        <v>150</v>
      </c>
      <c r="S2" s="39" t="s">
        <v>151</v>
      </c>
      <c r="T2" s="39" t="s">
        <v>152</v>
      </c>
      <c r="U2" s="22"/>
      <c r="V2" s="22"/>
      <c r="W2" s="22"/>
      <c r="X2" s="22"/>
      <c r="Y2" s="22"/>
      <c r="Z2" s="22"/>
      <c r="AA2" s="22"/>
    </row>
    <row r="3">
      <c r="A3" s="7" t="s">
        <v>153</v>
      </c>
      <c r="B3" s="8" t="s">
        <v>154</v>
      </c>
      <c r="C3" s="12">
        <v>0.1701388888888889</v>
      </c>
      <c r="D3" s="12">
        <v>0.1909722222222222</v>
      </c>
      <c r="E3" s="12">
        <v>0.21180555555555555</v>
      </c>
      <c r="F3" s="12">
        <v>0.2326388888888889</v>
      </c>
      <c r="G3" s="12">
        <v>0.2534722222222222</v>
      </c>
      <c r="H3" s="12">
        <v>0.2743055555555556</v>
      </c>
      <c r="I3" s="12">
        <v>0.2951388888888889</v>
      </c>
      <c r="J3" s="12">
        <v>0.3159722222222222</v>
      </c>
      <c r="K3" s="12">
        <v>0.3576388888888889</v>
      </c>
      <c r="L3" s="12">
        <v>0.3993055555555556</v>
      </c>
      <c r="M3" s="12">
        <v>0.4826388888888889</v>
      </c>
      <c r="N3" s="12">
        <v>0.5659722222222222</v>
      </c>
      <c r="O3" s="12">
        <v>0.6493055555555556</v>
      </c>
      <c r="P3" s="12">
        <v>0.6909722222222222</v>
      </c>
      <c r="Q3" s="12">
        <v>0.7326388888888888</v>
      </c>
      <c r="R3" s="12">
        <v>0.7534722222222222</v>
      </c>
      <c r="S3" s="12">
        <v>0.7743055555555556</v>
      </c>
      <c r="T3" s="12">
        <v>0.7951388888888888</v>
      </c>
      <c r="U3" s="10"/>
      <c r="V3" s="10"/>
      <c r="W3" s="10"/>
      <c r="X3" s="10"/>
      <c r="Y3" s="10"/>
      <c r="Z3" s="10"/>
      <c r="AA3" s="10"/>
    </row>
    <row r="4">
      <c r="A4" s="1" t="s">
        <v>157</v>
      </c>
      <c r="B4" s="31" t="s">
        <v>158</v>
      </c>
      <c r="C4" s="12">
        <v>0.17222222222222222</v>
      </c>
      <c r="D4" s="12">
        <v>0.19305555555555556</v>
      </c>
      <c r="E4" s="12">
        <v>0.21388888888888888</v>
      </c>
      <c r="F4" s="12">
        <v>0.23472222222222222</v>
      </c>
      <c r="G4" s="12">
        <v>0.25555555555555554</v>
      </c>
      <c r="H4" s="12">
        <v>0.2763888888888889</v>
      </c>
      <c r="I4" s="12">
        <v>0.2972222222222222</v>
      </c>
      <c r="J4" s="12">
        <v>0.31805555555555554</v>
      </c>
      <c r="K4" s="12">
        <v>0.3597222222222222</v>
      </c>
      <c r="L4" s="12">
        <v>0.4013888888888889</v>
      </c>
      <c r="M4" s="12">
        <v>0.4847222222222222</v>
      </c>
      <c r="N4" s="12">
        <v>0.5680555555555555</v>
      </c>
      <c r="O4" s="12">
        <v>0.6513888888888889</v>
      </c>
      <c r="P4" s="12">
        <v>0.6930555555555555</v>
      </c>
      <c r="Q4" s="12">
        <v>0.7347222222222223</v>
      </c>
      <c r="R4" s="12">
        <v>0.7555555555555555</v>
      </c>
      <c r="S4" s="12">
        <v>0.7763888888888889</v>
      </c>
      <c r="T4" s="12">
        <v>0.7972222222222223</v>
      </c>
    </row>
    <row r="5">
      <c r="A5" s="1" t="s">
        <v>160</v>
      </c>
      <c r="B5" s="31" t="s">
        <v>162</v>
      </c>
      <c r="C5" s="12">
        <v>0.17430555555555555</v>
      </c>
      <c r="D5" s="12">
        <v>0.1951388888888889</v>
      </c>
      <c r="E5" s="12">
        <v>0.21597222222222223</v>
      </c>
      <c r="F5" s="12">
        <v>0.23680555555555555</v>
      </c>
      <c r="G5" s="12">
        <v>0.25763888888888886</v>
      </c>
      <c r="H5" s="12">
        <v>0.27847222222222223</v>
      </c>
      <c r="I5" s="12">
        <v>0.29930555555555555</v>
      </c>
      <c r="J5" s="12">
        <v>0.32013888888888886</v>
      </c>
      <c r="K5" s="12">
        <v>0.36180555555555555</v>
      </c>
      <c r="L5" s="12">
        <v>0.40347222222222223</v>
      </c>
      <c r="M5" s="12">
        <v>0.48680555555555555</v>
      </c>
      <c r="N5" s="12">
        <v>0.5701388888888889</v>
      </c>
      <c r="O5" s="12">
        <v>0.6534722222222222</v>
      </c>
      <c r="P5" s="12">
        <v>0.6951388888888889</v>
      </c>
      <c r="Q5" s="12">
        <v>0.7368055555555556</v>
      </c>
      <c r="R5" s="12">
        <v>0.7576388888888889</v>
      </c>
      <c r="S5" s="12">
        <v>0.7784722222222222</v>
      </c>
      <c r="T5" s="12">
        <v>0.7993055555555556</v>
      </c>
    </row>
    <row r="6">
      <c r="A6" s="1" t="s">
        <v>166</v>
      </c>
      <c r="B6" s="31" t="s">
        <v>167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0.25972222222222224</v>
      </c>
      <c r="H6" s="12">
        <v>0.28055555555555556</v>
      </c>
      <c r="I6" s="12">
        <v>0.3013888888888889</v>
      </c>
      <c r="J6" s="12">
        <v>0.32222222222222224</v>
      </c>
      <c r="K6" s="12">
        <v>0.3638888888888889</v>
      </c>
      <c r="L6" s="12">
        <v>0.40555555555555556</v>
      </c>
      <c r="M6" s="12">
        <v>0.4888888888888889</v>
      </c>
      <c r="N6" s="12">
        <v>0.5722222222222222</v>
      </c>
      <c r="O6" s="12">
        <v>0.6555555555555556</v>
      </c>
      <c r="P6" s="12">
        <v>0.6972222222222222</v>
      </c>
      <c r="Q6" s="12">
        <v>0.7388888888888889</v>
      </c>
      <c r="R6" s="12">
        <v>0.7597222222222222</v>
      </c>
      <c r="S6" s="12">
        <v>0.7805555555555556</v>
      </c>
      <c r="T6" s="12">
        <v>0.8013888888888889</v>
      </c>
    </row>
    <row r="7">
      <c r="A7" s="1" t="s">
        <v>170</v>
      </c>
      <c r="B7" s="31" t="s">
        <v>171</v>
      </c>
      <c r="C7" s="12">
        <v>0.17916666666666667</v>
      </c>
      <c r="D7" s="12">
        <v>0.2</v>
      </c>
      <c r="E7" s="12">
        <v>0.22083333333333333</v>
      </c>
      <c r="F7" s="12">
        <v>0.24166666666666667</v>
      </c>
      <c r="G7" s="12">
        <v>0.2625</v>
      </c>
      <c r="H7" s="12">
        <v>0.2833333333333333</v>
      </c>
      <c r="I7" s="12">
        <v>0.30416666666666664</v>
      </c>
      <c r="J7" s="12">
        <v>0.325</v>
      </c>
      <c r="K7" s="12">
        <v>0.36666666666666664</v>
      </c>
      <c r="L7" s="12">
        <v>0.4083333333333333</v>
      </c>
      <c r="M7" s="12">
        <v>0.49166666666666664</v>
      </c>
      <c r="N7" s="12">
        <v>0.575</v>
      </c>
      <c r="O7" s="12">
        <v>0.6583333333333333</v>
      </c>
      <c r="P7" s="12">
        <v>0.7</v>
      </c>
      <c r="Q7" s="12">
        <v>0.7416666666666667</v>
      </c>
      <c r="R7" s="12">
        <v>0.7625</v>
      </c>
      <c r="S7" s="12">
        <v>0.7833333333333333</v>
      </c>
      <c r="T7" s="12">
        <v>0.8041666666666667</v>
      </c>
    </row>
    <row r="8">
      <c r="A8" s="1" t="s">
        <v>168</v>
      </c>
      <c r="B8" s="31" t="s">
        <v>169</v>
      </c>
      <c r="C8" s="12">
        <v>0.18333333333333332</v>
      </c>
      <c r="D8" s="12">
        <v>0.20416666666666666</v>
      </c>
      <c r="E8" s="12">
        <v>0.225</v>
      </c>
      <c r="F8" s="12">
        <v>0.24583333333333332</v>
      </c>
      <c r="G8" s="12">
        <v>0.26666666666666666</v>
      </c>
      <c r="H8" s="12">
        <v>0.2875</v>
      </c>
      <c r="I8" s="12">
        <v>0.30833333333333335</v>
      </c>
      <c r="J8" s="12">
        <v>0.32916666666666666</v>
      </c>
      <c r="K8" s="12">
        <v>0.37083333333333335</v>
      </c>
      <c r="L8" s="12">
        <v>0.4125</v>
      </c>
      <c r="M8" s="12">
        <v>0.49583333333333335</v>
      </c>
      <c r="N8" s="12">
        <v>0.5791666666666667</v>
      </c>
      <c r="O8" s="12">
        <v>0.6625</v>
      </c>
      <c r="P8" s="12">
        <v>0.7041666666666667</v>
      </c>
      <c r="Q8" s="12">
        <v>0.7458333333333333</v>
      </c>
      <c r="R8" s="12">
        <v>0.7666666666666667</v>
      </c>
      <c r="S8" s="12">
        <v>0.7875</v>
      </c>
      <c r="T8" s="12">
        <v>0.8083333333333333</v>
      </c>
    </row>
    <row r="9">
      <c r="A9" s="1" t="s">
        <v>164</v>
      </c>
      <c r="B9" s="31" t="s">
        <v>165</v>
      </c>
      <c r="C9" s="12">
        <v>0.1909722222222222</v>
      </c>
      <c r="D9" s="12">
        <v>0.21180555555555555</v>
      </c>
      <c r="E9" s="12">
        <v>0.2326388888888889</v>
      </c>
      <c r="F9" s="12">
        <v>0.2534722222222222</v>
      </c>
      <c r="G9" s="12">
        <v>0.2743055555555556</v>
      </c>
      <c r="H9" s="12">
        <v>0.2951388888888889</v>
      </c>
      <c r="I9" s="12">
        <v>0.3159722222222222</v>
      </c>
      <c r="J9" s="12">
        <v>0.3368055555555556</v>
      </c>
      <c r="K9" s="12">
        <v>0.3784722222222222</v>
      </c>
      <c r="L9" s="12">
        <v>0.4201388888888889</v>
      </c>
      <c r="M9" s="12">
        <v>0.5034722222222222</v>
      </c>
      <c r="N9" s="12">
        <v>0.5868055555555556</v>
      </c>
      <c r="O9" s="12">
        <v>0.6701388888888888</v>
      </c>
      <c r="P9" s="12">
        <v>0.7118055555555556</v>
      </c>
      <c r="Q9" s="12">
        <v>0.7534722222222222</v>
      </c>
      <c r="R9" s="12">
        <v>0.7743055555555556</v>
      </c>
      <c r="S9" s="12">
        <v>0.7951388888888888</v>
      </c>
      <c r="T9" s="12">
        <v>0.8159722222222222</v>
      </c>
    </row>
    <row r="10">
      <c r="A10" s="1" t="s">
        <v>161</v>
      </c>
      <c r="B10" s="31" t="s">
        <v>163</v>
      </c>
      <c r="C10" s="12">
        <v>0.19444444444444445</v>
      </c>
      <c r="D10" s="12">
        <v>0.2152777777777778</v>
      </c>
      <c r="E10" s="12">
        <v>0.2361111111111111</v>
      </c>
      <c r="F10" s="12">
        <v>0.2569444444444444</v>
      </c>
      <c r="G10" s="12">
        <v>0.2777777777777778</v>
      </c>
      <c r="H10" s="12">
        <v>0.2986111111111111</v>
      </c>
      <c r="I10" s="12">
        <v>0.3194444444444444</v>
      </c>
      <c r="J10" s="12">
        <v>0.3402777777777778</v>
      </c>
      <c r="K10" s="12">
        <v>0.3819444444444444</v>
      </c>
      <c r="L10" s="12">
        <v>0.4236111111111111</v>
      </c>
      <c r="M10" s="12">
        <v>0.5069444444444444</v>
      </c>
      <c r="N10" s="12">
        <v>0.5902777777777778</v>
      </c>
      <c r="O10" s="12">
        <v>0.6736111111111112</v>
      </c>
      <c r="P10" s="12">
        <v>0.7152777777777778</v>
      </c>
      <c r="Q10" s="12">
        <v>0.7569444444444444</v>
      </c>
      <c r="R10" s="12">
        <v>0.7777777777777778</v>
      </c>
      <c r="S10" s="12">
        <v>0.7986111111111112</v>
      </c>
      <c r="T10" s="12">
        <v>0.8194444444444444</v>
      </c>
    </row>
    <row r="11">
      <c r="A11" s="1" t="s">
        <v>83</v>
      </c>
      <c r="B11" s="31" t="s">
        <v>159</v>
      </c>
      <c r="C11" s="12">
        <v>0.19722222222222222</v>
      </c>
      <c r="D11" s="12">
        <v>0.21805555555555556</v>
      </c>
      <c r="E11" s="12">
        <v>0.2388888888888889</v>
      </c>
      <c r="F11" s="12">
        <v>0.25972222222222224</v>
      </c>
      <c r="G11" s="12">
        <v>0.28055555555555556</v>
      </c>
      <c r="H11" s="12">
        <v>0.3013888888888889</v>
      </c>
      <c r="I11" s="12">
        <v>0.32222222222222224</v>
      </c>
      <c r="J11" s="12">
        <v>0.34305555555555556</v>
      </c>
      <c r="K11" s="12">
        <v>0.38472222222222224</v>
      </c>
      <c r="L11" s="12">
        <v>0.4263888888888889</v>
      </c>
      <c r="M11" s="12">
        <v>0.5097222222222222</v>
      </c>
      <c r="N11" s="12">
        <v>0.5930555555555556</v>
      </c>
      <c r="O11" s="12">
        <v>0.6763888888888889</v>
      </c>
      <c r="P11" s="12">
        <v>0.7180555555555556</v>
      </c>
      <c r="Q11" s="12">
        <v>0.7597222222222222</v>
      </c>
      <c r="R11" s="12">
        <v>0.7805555555555556</v>
      </c>
      <c r="S11" s="12">
        <v>0.8013888888888889</v>
      </c>
      <c r="T11" s="12">
        <v>0.8222222222222222</v>
      </c>
    </row>
    <row r="12">
      <c r="A12" s="1" t="s">
        <v>85</v>
      </c>
      <c r="B12" s="31" t="s">
        <v>156</v>
      </c>
      <c r="C12" s="12">
        <v>0.20277777777777778</v>
      </c>
      <c r="D12" s="12">
        <v>0.22361111111111112</v>
      </c>
      <c r="E12" s="12">
        <v>0.24444444444444444</v>
      </c>
      <c r="F12" s="12">
        <v>0.2652777777777778</v>
      </c>
      <c r="G12" s="12">
        <v>0.2861111111111111</v>
      </c>
      <c r="H12" s="12">
        <v>0.30694444444444446</v>
      </c>
      <c r="I12" s="12">
        <v>0.3277777777777778</v>
      </c>
      <c r="J12" s="12">
        <v>0.3486111111111111</v>
      </c>
      <c r="K12" s="12">
        <v>0.3902777777777778</v>
      </c>
      <c r="L12" s="12">
        <v>0.43194444444444446</v>
      </c>
      <c r="M12" s="12">
        <v>0.5152777777777777</v>
      </c>
      <c r="N12" s="12">
        <v>0.5986111111111111</v>
      </c>
      <c r="O12" s="12">
        <v>0.6819444444444445</v>
      </c>
      <c r="P12" s="12">
        <v>0.7236111111111111</v>
      </c>
      <c r="Q12" s="12">
        <v>0.7652777777777777</v>
      </c>
      <c r="R12" s="12">
        <v>0.7861111111111111</v>
      </c>
      <c r="S12" s="12">
        <v>0.8069444444444445</v>
      </c>
      <c r="T12" s="12">
        <v>0.8277777777777777</v>
      </c>
    </row>
    <row r="13">
      <c r="A13" s="1" t="s">
        <v>80</v>
      </c>
      <c r="B13" s="31" t="s">
        <v>155</v>
      </c>
      <c r="C13" s="12">
        <v>0.20625</v>
      </c>
      <c r="D13" s="12">
        <v>0.22708333333333333</v>
      </c>
      <c r="E13" s="12">
        <v>0.24791666666666667</v>
      </c>
      <c r="F13" s="12">
        <v>0.26875</v>
      </c>
      <c r="G13" s="12">
        <v>0.28958333333333336</v>
      </c>
      <c r="H13" s="12">
        <v>0.3104166666666667</v>
      </c>
      <c r="I13" s="12">
        <v>0.33125</v>
      </c>
      <c r="J13" s="12">
        <v>0.35208333333333336</v>
      </c>
      <c r="K13" s="12">
        <v>0.39375</v>
      </c>
      <c r="L13" s="12">
        <v>0.4354166666666667</v>
      </c>
      <c r="M13" s="12">
        <v>0.51875</v>
      </c>
      <c r="N13" s="12">
        <v>0.6020833333333333</v>
      </c>
      <c r="O13" s="12">
        <v>0.6854166666666667</v>
      </c>
      <c r="P13" s="12">
        <v>0.7270833333333333</v>
      </c>
      <c r="Q13" s="12">
        <v>0.76875</v>
      </c>
      <c r="R13" s="12">
        <v>0.7895833333333333</v>
      </c>
      <c r="S13" s="12">
        <v>0.8104166666666667</v>
      </c>
      <c r="T13" s="12">
        <v>0.83125</v>
      </c>
    </row>
    <row r="14">
      <c r="A14" s="1" t="s">
        <v>75</v>
      </c>
      <c r="B14" s="11" t="s">
        <v>76</v>
      </c>
      <c r="C14" s="12">
        <v>0.2111111111111111</v>
      </c>
      <c r="D14" s="12">
        <v>0.23194444444444445</v>
      </c>
      <c r="E14" s="12">
        <v>0.25277777777777777</v>
      </c>
      <c r="F14" s="12">
        <v>0.27361111111111114</v>
      </c>
      <c r="G14" s="12">
        <v>0.29444444444444445</v>
      </c>
      <c r="H14" s="12">
        <v>0.31527777777777777</v>
      </c>
      <c r="I14" s="12">
        <v>0.33611111111111114</v>
      </c>
      <c r="J14" s="12">
        <v>0.35694444444444445</v>
      </c>
      <c r="K14" s="12">
        <v>0.39861111111111114</v>
      </c>
      <c r="L14" s="12">
        <v>0.44027777777777777</v>
      </c>
      <c r="M14" s="12">
        <v>0.5236111111111111</v>
      </c>
      <c r="N14" s="12">
        <v>0.6069444444444444</v>
      </c>
      <c r="O14" s="12">
        <v>0.6902777777777778</v>
      </c>
      <c r="P14" s="12">
        <v>0.7319444444444444</v>
      </c>
      <c r="Q14" s="12">
        <v>0.7736111111111111</v>
      </c>
      <c r="R14" s="12">
        <v>0.7944444444444444</v>
      </c>
      <c r="S14" s="12">
        <v>0.8152777777777778</v>
      </c>
      <c r="T14" s="12">
        <v>0.8361111111111111</v>
      </c>
    </row>
    <row r="15">
      <c r="A15" s="1" t="s">
        <v>69</v>
      </c>
      <c r="B15" s="15" t="s">
        <v>139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0.2986111111111111</v>
      </c>
      <c r="H15" s="12">
        <v>0.3194444444444444</v>
      </c>
      <c r="I15" s="12">
        <v>0.3402777777777778</v>
      </c>
      <c r="J15" s="12">
        <v>0.3611111111111111</v>
      </c>
      <c r="K15" s="12">
        <v>0.4027777777777778</v>
      </c>
      <c r="L15" s="12">
        <v>0.4444444444444444</v>
      </c>
      <c r="M15" s="12">
        <v>0.5277777777777778</v>
      </c>
      <c r="N15" s="12">
        <v>0.6111111111111112</v>
      </c>
      <c r="O15" s="12">
        <v>0.6944444444444444</v>
      </c>
      <c r="P15" s="12">
        <v>0.7361111111111112</v>
      </c>
      <c r="Q15" s="12">
        <v>0.7777777777777778</v>
      </c>
      <c r="R15" s="12">
        <v>0.7986111111111112</v>
      </c>
      <c r="S15" s="12">
        <v>0.8194444444444444</v>
      </c>
      <c r="T15" s="12">
        <v>0.8402777777777778</v>
      </c>
    </row>
    <row r="16">
      <c r="A16" s="1" t="s">
        <v>67</v>
      </c>
      <c r="B16" s="31" t="s">
        <v>133</v>
      </c>
      <c r="C16" s="12">
        <v>0.22013888888888888</v>
      </c>
      <c r="D16" s="12">
        <v>0.24097222222222223</v>
      </c>
      <c r="E16" s="12">
        <v>0.26180555555555557</v>
      </c>
      <c r="F16" s="12">
        <v>0.2826388888888889</v>
      </c>
      <c r="G16" s="12">
        <v>0.3034722222222222</v>
      </c>
      <c r="H16" s="12">
        <v>0.32430555555555557</v>
      </c>
      <c r="I16" s="12">
        <v>0.3451388888888889</v>
      </c>
      <c r="J16" s="12">
        <v>0.3659722222222222</v>
      </c>
      <c r="K16" s="12">
        <v>0.4076388888888889</v>
      </c>
      <c r="L16" s="12">
        <v>0.44930555555555557</v>
      </c>
      <c r="M16" s="12">
        <v>0.5326388888888889</v>
      </c>
      <c r="N16" s="12">
        <v>0.6159722222222223</v>
      </c>
      <c r="O16" s="12">
        <v>0.6993055555555555</v>
      </c>
      <c r="P16" s="12">
        <v>0.7409722222222223</v>
      </c>
      <c r="Q16" s="12">
        <v>0.7826388888888889</v>
      </c>
      <c r="R16" s="12">
        <v>0.8034722222222223</v>
      </c>
      <c r="S16" s="12">
        <v>0.8243055555555555</v>
      </c>
      <c r="T16" s="12">
        <v>0.8451388888888889</v>
      </c>
    </row>
    <row r="17">
      <c r="A17" s="1" t="s">
        <v>65</v>
      </c>
      <c r="B17" s="31" t="s">
        <v>132</v>
      </c>
      <c r="C17" s="12">
        <v>0.22361111111111112</v>
      </c>
      <c r="D17" s="12">
        <v>0.24444444444444444</v>
      </c>
      <c r="E17" s="12">
        <v>0.2652777777777778</v>
      </c>
      <c r="F17" s="12">
        <v>0.2861111111111111</v>
      </c>
      <c r="G17" s="12">
        <v>0.30694444444444446</v>
      </c>
      <c r="H17" s="12">
        <v>0.3277777777777778</v>
      </c>
      <c r="I17" s="12">
        <v>0.3486111111111111</v>
      </c>
      <c r="J17" s="12">
        <v>0.36944444444444446</v>
      </c>
      <c r="K17" s="12">
        <v>0.4111111111111111</v>
      </c>
      <c r="L17" s="12">
        <v>0.4527777777777778</v>
      </c>
      <c r="M17" s="12">
        <v>0.5361111111111111</v>
      </c>
      <c r="N17" s="12">
        <v>0.6194444444444445</v>
      </c>
      <c r="O17" s="12">
        <v>0.7027777777777777</v>
      </c>
      <c r="P17" s="12">
        <v>0.7444444444444445</v>
      </c>
      <c r="Q17" s="12">
        <v>0.7861111111111111</v>
      </c>
      <c r="R17" s="12">
        <v>0.8069444444444445</v>
      </c>
      <c r="S17" s="12">
        <v>0.8277777777777777</v>
      </c>
      <c r="T17" s="12">
        <v>0.8486111111111111</v>
      </c>
    </row>
    <row r="18">
      <c r="A18" s="1" t="s">
        <v>63</v>
      </c>
      <c r="B18" s="31" t="s">
        <v>131</v>
      </c>
      <c r="C18" s="12">
        <v>0.22777777777777777</v>
      </c>
      <c r="D18" s="12">
        <v>0.24861111111111112</v>
      </c>
      <c r="E18" s="12">
        <v>0.26944444444444443</v>
      </c>
      <c r="F18" s="12">
        <v>0.2902777777777778</v>
      </c>
      <c r="G18" s="12">
        <v>0.3111111111111111</v>
      </c>
      <c r="H18" s="12">
        <v>0.33194444444444443</v>
      </c>
      <c r="I18" s="12">
        <v>0.3527777777777778</v>
      </c>
      <c r="J18" s="12">
        <v>0.3736111111111111</v>
      </c>
      <c r="K18" s="12">
        <v>0.4152777777777778</v>
      </c>
      <c r="L18" s="12">
        <v>0.45694444444444443</v>
      </c>
      <c r="M18" s="12">
        <v>0.5402777777777777</v>
      </c>
      <c r="N18" s="12">
        <v>0.6236111111111111</v>
      </c>
      <c r="O18" s="12">
        <v>0.7069444444444445</v>
      </c>
      <c r="P18" s="12">
        <v>0.7486111111111111</v>
      </c>
      <c r="Q18" s="12">
        <v>0.7902777777777777</v>
      </c>
      <c r="R18" s="12">
        <v>0.8111111111111111</v>
      </c>
      <c r="S18" s="12">
        <v>0.8319444444444445</v>
      </c>
      <c r="T18" s="12">
        <v>0.8527777777777777</v>
      </c>
    </row>
    <row r="19">
      <c r="A19" s="1" t="s">
        <v>61</v>
      </c>
      <c r="B19" s="31" t="s">
        <v>62</v>
      </c>
      <c r="C19" s="12">
        <v>0.2298611111111111</v>
      </c>
      <c r="D19" s="12">
        <v>0.25069444444444444</v>
      </c>
      <c r="E19" s="12">
        <v>0.27152777777777776</v>
      </c>
      <c r="F19" s="12">
        <v>0.2923611111111111</v>
      </c>
      <c r="G19" s="12">
        <v>0.31319444444444444</v>
      </c>
      <c r="H19" s="12">
        <v>0.33402777777777776</v>
      </c>
      <c r="I19" s="12">
        <v>0.3548611111111111</v>
      </c>
      <c r="J19" s="12">
        <v>0.37569444444444444</v>
      </c>
      <c r="K19" s="12">
        <v>0.4173611111111111</v>
      </c>
      <c r="L19" s="12">
        <v>0.45902777777777776</v>
      </c>
      <c r="M19" s="12">
        <v>0.5423611111111111</v>
      </c>
      <c r="N19" s="12">
        <v>0.6256944444444444</v>
      </c>
      <c r="O19" s="12">
        <v>0.7090277777777778</v>
      </c>
      <c r="P19" s="12">
        <v>0.7506944444444444</v>
      </c>
      <c r="Q19" s="12">
        <v>0.7923611111111111</v>
      </c>
      <c r="R19" s="12">
        <v>0.8131944444444444</v>
      </c>
      <c r="S19" s="12">
        <v>0.8340277777777778</v>
      </c>
      <c r="T19" s="12">
        <v>0.8548611111111111</v>
      </c>
    </row>
    <row r="20">
      <c r="A20" s="1" t="s">
        <v>59</v>
      </c>
      <c r="B20" s="19" t="s">
        <v>60</v>
      </c>
      <c r="C20" s="12">
        <v>0.23333333333333334</v>
      </c>
      <c r="D20" s="12">
        <v>0.25416666666666665</v>
      </c>
      <c r="E20" s="12">
        <v>0.275</v>
      </c>
      <c r="F20" s="12">
        <v>0.29583333333333334</v>
      </c>
      <c r="G20" s="12">
        <v>0.31666666666666665</v>
      </c>
      <c r="H20" s="12">
        <v>0.3375</v>
      </c>
      <c r="I20" s="12">
        <v>0.35833333333333334</v>
      </c>
      <c r="J20" s="12">
        <v>0.37916666666666665</v>
      </c>
      <c r="K20" s="12">
        <v>0.42083333333333334</v>
      </c>
      <c r="L20" s="12">
        <v>0.4625</v>
      </c>
      <c r="M20" s="12">
        <v>0.5458333333333333</v>
      </c>
      <c r="N20" s="12">
        <v>0.6291666666666667</v>
      </c>
      <c r="O20" s="12">
        <v>0.7125</v>
      </c>
      <c r="P20" s="12">
        <v>0.7541666666666667</v>
      </c>
      <c r="Q20" s="12">
        <v>0.7958333333333333</v>
      </c>
      <c r="R20" s="12">
        <v>0.8166666666666667</v>
      </c>
      <c r="S20" s="12">
        <v>0.8375</v>
      </c>
      <c r="T20" s="12">
        <v>0.8583333333333333</v>
      </c>
    </row>
    <row r="21">
      <c r="A21" s="18" t="s">
        <v>55</v>
      </c>
      <c r="B21" s="16" t="s">
        <v>56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'DURBN-to-WINKL_Weekday'!C1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712.0</v>
      </c>
      <c r="D2" s="21">
        <v>720.0</v>
      </c>
      <c r="E2" s="21">
        <v>728.0</v>
      </c>
      <c r="F2" s="21">
        <v>738.0</v>
      </c>
      <c r="G2" s="21">
        <v>756.0</v>
      </c>
      <c r="H2" s="21">
        <v>768.0</v>
      </c>
      <c r="I2" s="21">
        <v>778.0</v>
      </c>
      <c r="J2" s="21">
        <v>790.0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" t="s">
        <v>55</v>
      </c>
      <c r="B3" s="8" t="s">
        <v>56</v>
      </c>
      <c r="K3" s="16"/>
      <c r="L3" s="16"/>
      <c r="M3" s="40"/>
      <c r="N3" s="17"/>
      <c r="O3" s="17"/>
      <c r="P3" s="17"/>
      <c r="Q3" s="17"/>
      <c r="R3" s="17"/>
      <c r="S3" s="17"/>
      <c r="T3" s="17"/>
      <c r="U3" s="19"/>
    </row>
    <row r="4">
      <c r="A4" s="1" t="s">
        <v>59</v>
      </c>
      <c r="B4" s="8" t="s">
        <v>60</v>
      </c>
      <c r="C4" s="12">
        <v>0.17708333333333334</v>
      </c>
      <c r="D4" s="12">
        <v>0.21875</v>
      </c>
      <c r="E4" s="12">
        <v>0.2604166666666667</v>
      </c>
      <c r="F4" s="12">
        <v>0.3229166666666667</v>
      </c>
      <c r="G4" s="12">
        <v>0.5729166666666666</v>
      </c>
      <c r="H4" s="12">
        <v>0.65625</v>
      </c>
      <c r="I4" s="12">
        <v>0.71875</v>
      </c>
      <c r="J4" s="12">
        <v>0.78125</v>
      </c>
      <c r="K4" s="16"/>
      <c r="L4" s="16"/>
      <c r="M4" s="40"/>
      <c r="N4" s="17"/>
      <c r="O4" s="17"/>
      <c r="P4" s="17"/>
      <c r="Q4" s="17"/>
      <c r="R4" s="17"/>
      <c r="S4" s="17"/>
      <c r="T4" s="17"/>
      <c r="U4" s="19"/>
    </row>
    <row r="5">
      <c r="A5" s="1" t="s">
        <v>61</v>
      </c>
      <c r="B5" s="11" t="s">
        <v>62</v>
      </c>
      <c r="C5" s="12">
        <v>0.18055555555555555</v>
      </c>
      <c r="D5" s="12">
        <f t="shared" ref="D5:J5" si="1">D4+C5-C4</f>
        <v>0.2222222222</v>
      </c>
      <c r="E5" s="12">
        <f t="shared" si="1"/>
        <v>0.2638888889</v>
      </c>
      <c r="F5" s="12">
        <f t="shared" si="1"/>
        <v>0.3263888889</v>
      </c>
      <c r="G5" s="12">
        <f t="shared" si="1"/>
        <v>0.5763888889</v>
      </c>
      <c r="H5" s="12">
        <f t="shared" si="1"/>
        <v>0.6597222222</v>
      </c>
      <c r="I5" s="12">
        <f t="shared" si="1"/>
        <v>0.7222222222</v>
      </c>
      <c r="J5" s="12">
        <f t="shared" si="1"/>
        <v>0.7847222222</v>
      </c>
      <c r="K5" s="16"/>
      <c r="L5" s="16"/>
      <c r="M5" s="40"/>
      <c r="N5" s="17"/>
      <c r="O5" s="17"/>
      <c r="P5" s="17"/>
      <c r="Q5" s="17"/>
      <c r="R5" s="17"/>
      <c r="S5" s="17"/>
      <c r="T5" s="17"/>
      <c r="U5" s="19"/>
    </row>
    <row r="6">
      <c r="A6" s="1" t="s">
        <v>63</v>
      </c>
      <c r="B6" s="11" t="s">
        <v>131</v>
      </c>
      <c r="C6" s="12">
        <v>0.18263888888888888</v>
      </c>
      <c r="D6" s="12">
        <f t="shared" ref="D6:J6" si="2">D5+C6-C5</f>
        <v>0.2243055556</v>
      </c>
      <c r="E6" s="12">
        <f t="shared" si="2"/>
        <v>0.2659722222</v>
      </c>
      <c r="F6" s="12">
        <f t="shared" si="2"/>
        <v>0.3284722222</v>
      </c>
      <c r="G6" s="12">
        <f t="shared" si="2"/>
        <v>0.5784722222</v>
      </c>
      <c r="H6" s="12">
        <f t="shared" si="2"/>
        <v>0.6618055556</v>
      </c>
      <c r="I6" s="12">
        <f t="shared" si="2"/>
        <v>0.7243055556</v>
      </c>
      <c r="J6" s="12">
        <f t="shared" si="2"/>
        <v>0.7868055556</v>
      </c>
      <c r="K6" s="16"/>
      <c r="L6" s="16"/>
      <c r="M6" s="16"/>
      <c r="N6" s="17"/>
      <c r="O6" s="17"/>
      <c r="P6" s="17"/>
      <c r="Q6" s="17"/>
      <c r="R6" s="17"/>
      <c r="S6" s="17"/>
      <c r="T6" s="17"/>
      <c r="U6" s="19"/>
    </row>
    <row r="7">
      <c r="A7" s="1" t="s">
        <v>65</v>
      </c>
      <c r="B7" s="11" t="s">
        <v>132</v>
      </c>
      <c r="C7" s="12">
        <v>0.18680555555555556</v>
      </c>
      <c r="D7" s="12">
        <f t="shared" ref="D7:J7" si="3">D6+C7-C6</f>
        <v>0.2284722222</v>
      </c>
      <c r="E7" s="12">
        <f t="shared" si="3"/>
        <v>0.2701388889</v>
      </c>
      <c r="F7" s="12">
        <f t="shared" si="3"/>
        <v>0.3326388889</v>
      </c>
      <c r="G7" s="12">
        <f t="shared" si="3"/>
        <v>0.5826388889</v>
      </c>
      <c r="H7" s="12">
        <f t="shared" si="3"/>
        <v>0.6659722222</v>
      </c>
      <c r="I7" s="12">
        <f t="shared" si="3"/>
        <v>0.7284722222</v>
      </c>
      <c r="J7" s="12">
        <f t="shared" si="3"/>
        <v>0.7909722222</v>
      </c>
      <c r="K7" s="16"/>
      <c r="L7" s="16"/>
      <c r="M7" s="16"/>
      <c r="N7" s="17"/>
      <c r="O7" s="17"/>
      <c r="P7" s="17"/>
      <c r="Q7" s="17"/>
      <c r="R7" s="17"/>
      <c r="S7" s="17"/>
      <c r="T7" s="17"/>
      <c r="U7" s="19"/>
    </row>
    <row r="8">
      <c r="A8" s="1" t="s">
        <v>67</v>
      </c>
      <c r="B8" s="11" t="s">
        <v>133</v>
      </c>
      <c r="C8" s="12">
        <v>0.19027777777777777</v>
      </c>
      <c r="D8" s="12">
        <f t="shared" ref="D8:J8" si="4">D7+C8-C7</f>
        <v>0.2319444444</v>
      </c>
      <c r="E8" s="12">
        <f t="shared" si="4"/>
        <v>0.2736111111</v>
      </c>
      <c r="F8" s="12">
        <f t="shared" si="4"/>
        <v>0.3361111111</v>
      </c>
      <c r="G8" s="12">
        <f t="shared" si="4"/>
        <v>0.5861111111</v>
      </c>
      <c r="H8" s="12">
        <f t="shared" si="4"/>
        <v>0.6694444444</v>
      </c>
      <c r="I8" s="12">
        <f t="shared" si="4"/>
        <v>0.7319444444</v>
      </c>
      <c r="J8" s="12">
        <f t="shared" si="4"/>
        <v>0.7944444444</v>
      </c>
      <c r="K8" s="16"/>
      <c r="L8" s="16"/>
      <c r="M8" s="16"/>
      <c r="N8" s="17"/>
      <c r="O8" s="17"/>
      <c r="P8" s="17"/>
      <c r="Q8" s="17"/>
      <c r="R8" s="17"/>
      <c r="S8" s="17"/>
      <c r="T8" s="17"/>
      <c r="U8" s="19"/>
    </row>
    <row r="9">
      <c r="A9" s="1" t="s">
        <v>69</v>
      </c>
      <c r="B9" s="11" t="s">
        <v>139</v>
      </c>
      <c r="C9" s="12">
        <v>0.19305555555555556</v>
      </c>
      <c r="D9" s="12">
        <f t="shared" ref="D9:J9" si="5">D8+C9-C8</f>
        <v>0.2347222222</v>
      </c>
      <c r="E9" s="12">
        <f t="shared" si="5"/>
        <v>0.2763888889</v>
      </c>
      <c r="F9" s="12">
        <f t="shared" si="5"/>
        <v>0.3388888889</v>
      </c>
      <c r="G9" s="12">
        <f t="shared" si="5"/>
        <v>0.5888888889</v>
      </c>
      <c r="H9" s="12">
        <f t="shared" si="5"/>
        <v>0.6722222222</v>
      </c>
      <c r="I9" s="12">
        <f t="shared" si="5"/>
        <v>0.7347222222</v>
      </c>
      <c r="J9" s="12">
        <f t="shared" si="5"/>
        <v>0.7972222222</v>
      </c>
      <c r="K9" s="16"/>
      <c r="L9" s="16"/>
      <c r="M9" s="16"/>
      <c r="N9" s="17"/>
      <c r="O9" s="17"/>
      <c r="P9" s="17"/>
      <c r="Q9" s="17"/>
      <c r="R9" s="17"/>
      <c r="S9" s="17"/>
      <c r="T9" s="17"/>
      <c r="U9" s="19"/>
    </row>
    <row r="10">
      <c r="A10" s="1" t="s">
        <v>75</v>
      </c>
      <c r="B10" s="11" t="s">
        <v>76</v>
      </c>
      <c r="C10" s="12">
        <v>0.1986111111111111</v>
      </c>
      <c r="D10" s="12">
        <f t="shared" ref="D10:J10" si="6">D9+C10-C9</f>
        <v>0.2402777778</v>
      </c>
      <c r="E10" s="12">
        <f t="shared" si="6"/>
        <v>0.2819444444</v>
      </c>
      <c r="F10" s="12">
        <f t="shared" si="6"/>
        <v>0.3444444444</v>
      </c>
      <c r="G10" s="12">
        <f t="shared" si="6"/>
        <v>0.5944444444</v>
      </c>
      <c r="H10" s="12">
        <f t="shared" si="6"/>
        <v>0.6777777778</v>
      </c>
      <c r="I10" s="12">
        <f t="shared" si="6"/>
        <v>0.7402777778</v>
      </c>
      <c r="J10" s="12">
        <f t="shared" si="6"/>
        <v>0.8027777778</v>
      </c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9"/>
    </row>
    <row r="11">
      <c r="A11" s="1" t="s">
        <v>80</v>
      </c>
      <c r="B11" s="11" t="s">
        <v>155</v>
      </c>
      <c r="C11" s="12">
        <v>0.20347222222222222</v>
      </c>
      <c r="D11" s="12">
        <f t="shared" ref="D11:J11" si="7">D10+C11-C10</f>
        <v>0.2451388889</v>
      </c>
      <c r="E11" s="12">
        <f t="shared" si="7"/>
        <v>0.2868055556</v>
      </c>
      <c r="F11" s="12">
        <f t="shared" si="7"/>
        <v>0.3493055556</v>
      </c>
      <c r="G11" s="12">
        <f t="shared" si="7"/>
        <v>0.5993055556</v>
      </c>
      <c r="H11" s="12">
        <f t="shared" si="7"/>
        <v>0.6826388889</v>
      </c>
      <c r="I11" s="12">
        <f t="shared" si="7"/>
        <v>0.7451388889</v>
      </c>
      <c r="J11" s="12">
        <f t="shared" si="7"/>
        <v>0.8076388889</v>
      </c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9"/>
    </row>
    <row r="12">
      <c r="A12" s="1" t="s">
        <v>85</v>
      </c>
      <c r="B12" s="11" t="s">
        <v>156</v>
      </c>
      <c r="C12" s="12">
        <v>0.20833333333333334</v>
      </c>
      <c r="D12" s="12">
        <f t="shared" ref="D12:J12" si="8">D11+C12-C11</f>
        <v>0.25</v>
      </c>
      <c r="E12" s="12">
        <f t="shared" si="8"/>
        <v>0.2916666667</v>
      </c>
      <c r="F12" s="12">
        <f t="shared" si="8"/>
        <v>0.3541666667</v>
      </c>
      <c r="G12" s="12">
        <f t="shared" si="8"/>
        <v>0.6041666667</v>
      </c>
      <c r="H12" s="12">
        <f t="shared" si="8"/>
        <v>0.6875</v>
      </c>
      <c r="I12" s="12">
        <f t="shared" si="8"/>
        <v>0.75</v>
      </c>
      <c r="J12" s="12">
        <f t="shared" si="8"/>
        <v>0.8125</v>
      </c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9"/>
    </row>
    <row r="13">
      <c r="A13" s="1" t="s">
        <v>83</v>
      </c>
      <c r="B13" s="11" t="s">
        <v>159</v>
      </c>
      <c r="C13" s="12">
        <v>0.21388888888888888</v>
      </c>
      <c r="D13" s="12">
        <f t="shared" ref="D13:J13" si="9">D12+C13-C12</f>
        <v>0.2555555556</v>
      </c>
      <c r="E13" s="12">
        <f t="shared" si="9"/>
        <v>0.2972222222</v>
      </c>
      <c r="F13" s="12">
        <f t="shared" si="9"/>
        <v>0.3597222222</v>
      </c>
      <c r="G13" s="12">
        <f t="shared" si="9"/>
        <v>0.6097222222</v>
      </c>
      <c r="H13" s="12">
        <f t="shared" si="9"/>
        <v>0.6930555556</v>
      </c>
      <c r="I13" s="12">
        <f t="shared" si="9"/>
        <v>0.7555555556</v>
      </c>
      <c r="J13" s="12">
        <f t="shared" si="9"/>
        <v>0.8180555556</v>
      </c>
      <c r="K13" s="16"/>
      <c r="L13" s="16"/>
      <c r="M13" s="16"/>
      <c r="N13" s="17"/>
      <c r="O13" s="17"/>
      <c r="P13" s="17"/>
      <c r="Q13" s="17"/>
      <c r="R13" s="17"/>
      <c r="S13" s="17"/>
      <c r="T13" s="17"/>
      <c r="U13" s="19"/>
    </row>
    <row r="14">
      <c r="A14" s="1" t="s">
        <v>161</v>
      </c>
      <c r="B14" s="11" t="s">
        <v>163</v>
      </c>
      <c r="C14" s="12">
        <v>0.21597222222222223</v>
      </c>
      <c r="D14" s="12">
        <f t="shared" ref="D14:J14" si="10">D13+C14-C13</f>
        <v>0.2576388889</v>
      </c>
      <c r="E14" s="12">
        <f t="shared" si="10"/>
        <v>0.2993055556</v>
      </c>
      <c r="F14" s="12">
        <f t="shared" si="10"/>
        <v>0.3618055556</v>
      </c>
      <c r="G14" s="12">
        <f t="shared" si="10"/>
        <v>0.6118055556</v>
      </c>
      <c r="H14" s="12">
        <f t="shared" si="10"/>
        <v>0.6951388889</v>
      </c>
      <c r="I14" s="12">
        <f t="shared" si="10"/>
        <v>0.7576388889</v>
      </c>
      <c r="J14" s="12">
        <f t="shared" si="10"/>
        <v>0.8201388889</v>
      </c>
      <c r="K14" s="16"/>
      <c r="L14" s="43"/>
      <c r="M14" s="16"/>
      <c r="N14" s="19"/>
      <c r="O14" s="19"/>
      <c r="P14" s="19"/>
      <c r="Q14" s="19"/>
      <c r="R14" s="19"/>
      <c r="S14" s="19"/>
      <c r="T14" s="19"/>
      <c r="U14" s="19"/>
    </row>
    <row r="15">
      <c r="A15" s="1" t="s">
        <v>164</v>
      </c>
      <c r="B15" s="11" t="s">
        <v>165</v>
      </c>
      <c r="C15" s="12">
        <v>0.21875</v>
      </c>
      <c r="D15" s="12">
        <f t="shared" ref="D15:J15" si="11">D14+C15-C14</f>
        <v>0.2604166667</v>
      </c>
      <c r="E15" s="12">
        <f t="shared" si="11"/>
        <v>0.3020833333</v>
      </c>
      <c r="F15" s="12">
        <f t="shared" si="11"/>
        <v>0.3645833333</v>
      </c>
      <c r="G15" s="12">
        <f t="shared" si="11"/>
        <v>0.6145833333</v>
      </c>
      <c r="H15" s="12">
        <f t="shared" si="11"/>
        <v>0.6979166667</v>
      </c>
      <c r="I15" s="12">
        <f t="shared" si="11"/>
        <v>0.7604166667</v>
      </c>
      <c r="J15" s="12">
        <f t="shared" si="11"/>
        <v>0.8229166667</v>
      </c>
      <c r="K15" s="16"/>
      <c r="L15" s="16"/>
      <c r="M15" s="16"/>
      <c r="N15" s="19"/>
      <c r="O15" s="19"/>
      <c r="P15" s="19"/>
      <c r="Q15" s="19"/>
      <c r="R15" s="19"/>
      <c r="S15" s="19"/>
      <c r="T15" s="19"/>
      <c r="U15" s="19"/>
    </row>
    <row r="16">
      <c r="A16" s="1" t="s">
        <v>168</v>
      </c>
      <c r="B16" s="11" t="s">
        <v>169</v>
      </c>
      <c r="C16" s="12">
        <v>0.225</v>
      </c>
      <c r="D16" s="12">
        <f t="shared" ref="D16:J16" si="12">D15+C16-C15</f>
        <v>0.2666666667</v>
      </c>
      <c r="E16" s="12">
        <f t="shared" si="12"/>
        <v>0.3083333333</v>
      </c>
      <c r="F16" s="12">
        <f t="shared" si="12"/>
        <v>0.3708333333</v>
      </c>
      <c r="G16" s="12">
        <f t="shared" si="12"/>
        <v>0.6208333333</v>
      </c>
      <c r="H16" s="12">
        <f t="shared" si="12"/>
        <v>0.7041666667</v>
      </c>
      <c r="I16" s="12">
        <f t="shared" si="12"/>
        <v>0.7666666667</v>
      </c>
      <c r="J16" s="12">
        <f t="shared" si="12"/>
        <v>0.8291666667</v>
      </c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9"/>
    </row>
    <row r="17">
      <c r="A17" s="1" t="s">
        <v>170</v>
      </c>
      <c r="B17" s="11" t="s">
        <v>171</v>
      </c>
      <c r="C17" s="12">
        <v>0.22847222222222222</v>
      </c>
      <c r="D17" s="12">
        <f t="shared" ref="D17:J17" si="13">D16+C17-C16</f>
        <v>0.2701388889</v>
      </c>
      <c r="E17" s="12">
        <f t="shared" si="13"/>
        <v>0.3118055556</v>
      </c>
      <c r="F17" s="12">
        <f t="shared" si="13"/>
        <v>0.3743055556</v>
      </c>
      <c r="G17" s="12">
        <f t="shared" si="13"/>
        <v>0.6243055556</v>
      </c>
      <c r="H17" s="12">
        <f t="shared" si="13"/>
        <v>0.7076388889</v>
      </c>
      <c r="I17" s="12">
        <f t="shared" si="13"/>
        <v>0.7701388889</v>
      </c>
      <c r="J17" s="12">
        <f t="shared" si="13"/>
        <v>0.8326388889</v>
      </c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9"/>
    </row>
    <row r="18">
      <c r="A18" s="1" t="s">
        <v>166</v>
      </c>
      <c r="B18" s="11" t="s">
        <v>167</v>
      </c>
      <c r="C18" s="12">
        <v>0.2388888888888889</v>
      </c>
      <c r="D18" s="12">
        <f t="shared" ref="D18:J18" si="14">D17+C18-C17</f>
        <v>0.2805555556</v>
      </c>
      <c r="E18" s="12">
        <f t="shared" si="14"/>
        <v>0.3222222222</v>
      </c>
      <c r="F18" s="12">
        <f t="shared" si="14"/>
        <v>0.3847222222</v>
      </c>
      <c r="G18" s="12">
        <f t="shared" si="14"/>
        <v>0.6347222222</v>
      </c>
      <c r="H18" s="12">
        <f t="shared" si="14"/>
        <v>0.7180555556</v>
      </c>
      <c r="I18" s="12">
        <f t="shared" si="14"/>
        <v>0.7805555556</v>
      </c>
      <c r="J18" s="12">
        <f t="shared" si="14"/>
        <v>0.8430555556</v>
      </c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9"/>
    </row>
    <row r="19">
      <c r="A19" s="1" t="s">
        <v>160</v>
      </c>
      <c r="B19" s="11" t="s">
        <v>162</v>
      </c>
      <c r="C19" s="12">
        <v>0.24097222222222223</v>
      </c>
      <c r="D19" s="12">
        <f t="shared" ref="D19:J19" si="15">D18+C19-C18</f>
        <v>0.2826388889</v>
      </c>
      <c r="E19" s="12">
        <f t="shared" si="15"/>
        <v>0.3243055556</v>
      </c>
      <c r="F19" s="12">
        <f t="shared" si="15"/>
        <v>0.3868055556</v>
      </c>
      <c r="G19" s="12">
        <f t="shared" si="15"/>
        <v>0.6368055556</v>
      </c>
      <c r="H19" s="12">
        <f t="shared" si="15"/>
        <v>0.7201388889</v>
      </c>
      <c r="I19" s="12">
        <f t="shared" si="15"/>
        <v>0.7826388889</v>
      </c>
      <c r="J19" s="12">
        <f t="shared" si="15"/>
        <v>0.8451388889</v>
      </c>
      <c r="K19" s="16"/>
      <c r="L19" s="16"/>
      <c r="M19" s="16"/>
      <c r="N19" s="17"/>
      <c r="O19" s="17"/>
      <c r="P19" s="17"/>
      <c r="Q19" s="17"/>
      <c r="R19" s="17"/>
      <c r="S19" s="17"/>
      <c r="T19" s="17"/>
      <c r="U19" s="19"/>
    </row>
    <row r="20">
      <c r="A20" s="1" t="s">
        <v>157</v>
      </c>
      <c r="B20" s="11" t="s">
        <v>158</v>
      </c>
      <c r="C20" s="12">
        <v>0.24375</v>
      </c>
      <c r="D20" s="12">
        <f t="shared" ref="D20:J20" si="16">D19+C20-C19</f>
        <v>0.2854166667</v>
      </c>
      <c r="E20" s="12">
        <f t="shared" si="16"/>
        <v>0.3270833333</v>
      </c>
      <c r="F20" s="12">
        <f t="shared" si="16"/>
        <v>0.3895833333</v>
      </c>
      <c r="G20" s="12">
        <f t="shared" si="16"/>
        <v>0.6395833333</v>
      </c>
      <c r="H20" s="12">
        <f t="shared" si="16"/>
        <v>0.7229166667</v>
      </c>
      <c r="I20" s="12">
        <f t="shared" si="16"/>
        <v>0.7854166667</v>
      </c>
      <c r="J20" s="12">
        <f t="shared" si="16"/>
        <v>0.8479166667</v>
      </c>
      <c r="K20" s="16"/>
      <c r="L20" s="43"/>
      <c r="M20" s="16"/>
      <c r="N20" s="19"/>
      <c r="O20" s="19"/>
      <c r="P20" s="19"/>
      <c r="Q20" s="19"/>
      <c r="R20" s="19"/>
      <c r="S20" s="19"/>
      <c r="T20" s="19"/>
      <c r="U20" s="19"/>
    </row>
    <row r="21">
      <c r="A21" s="1" t="s">
        <v>153</v>
      </c>
      <c r="B21" s="16" t="s">
        <v>154</v>
      </c>
      <c r="C21" s="12">
        <v>0.2465277777777778</v>
      </c>
      <c r="D21" s="12">
        <f t="shared" ref="D21:J21" si="17">D20+C21-C20</f>
        <v>0.2881944444</v>
      </c>
      <c r="E21" s="12">
        <f t="shared" si="17"/>
        <v>0.3298611111</v>
      </c>
      <c r="F21" s="12">
        <f t="shared" si="17"/>
        <v>0.3923611111</v>
      </c>
      <c r="G21" s="12">
        <f t="shared" si="17"/>
        <v>0.6423611111</v>
      </c>
      <c r="H21" s="12">
        <f t="shared" si="17"/>
        <v>0.7256944444</v>
      </c>
      <c r="I21" s="12">
        <f t="shared" si="17"/>
        <v>0.7881944444</v>
      </c>
      <c r="J21" s="12">
        <f t="shared" si="17"/>
        <v>0.8506944444</v>
      </c>
      <c r="K21" s="16"/>
      <c r="L21" s="16"/>
      <c r="M21" s="16"/>
      <c r="N21" s="17"/>
      <c r="O21" s="17"/>
      <c r="P21" s="17"/>
      <c r="Q21" s="17"/>
      <c r="R21" s="17"/>
      <c r="S21" s="17"/>
      <c r="T21" s="17"/>
      <c r="U21" s="19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9"/>
      <c r="D25" s="19"/>
      <c r="E25" s="19"/>
      <c r="F25" s="19"/>
      <c r="G25" s="19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37"/>
      <c r="D28" s="37"/>
      <c r="E28" s="17"/>
      <c r="F28" s="37"/>
      <c r="G28" s="3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9"/>
      <c r="F44" s="19"/>
      <c r="G44" s="19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  <c r="E46" s="19"/>
      <c r="F46" s="19"/>
      <c r="G46" s="19"/>
    </row>
    <row r="47">
      <c r="A47" s="36"/>
    </row>
    <row r="48">
      <c r="A48" s="1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'DURBN-to-WINKL_Weekday'!C1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711.0</v>
      </c>
      <c r="D2" s="21">
        <v>715.0</v>
      </c>
      <c r="E2" s="21">
        <v>727.0</v>
      </c>
      <c r="F2" s="21">
        <v>735.0</v>
      </c>
      <c r="G2" s="21">
        <v>743.0</v>
      </c>
      <c r="H2" s="21">
        <v>761.0</v>
      </c>
      <c r="I2" s="21">
        <v>767.0</v>
      </c>
      <c r="J2" s="21">
        <v>779.0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7" t="s">
        <v>153</v>
      </c>
      <c r="B3" s="8" t="s">
        <v>154</v>
      </c>
      <c r="C3" s="12">
        <v>0.1701388888888889</v>
      </c>
      <c r="D3" s="12">
        <v>0.1909722222222222</v>
      </c>
      <c r="E3" s="41">
        <v>0.2534722222222222</v>
      </c>
      <c r="F3" s="12">
        <v>0.2951388888888889</v>
      </c>
      <c r="G3" s="12">
        <v>0.3576388888888889</v>
      </c>
      <c r="H3" s="12">
        <v>0.5659722222222222</v>
      </c>
      <c r="I3" s="12">
        <v>0.6493055555555556</v>
      </c>
      <c r="J3" s="12">
        <v>0.7326388888888888</v>
      </c>
      <c r="K3" s="16"/>
      <c r="L3" s="16"/>
      <c r="M3" s="16"/>
      <c r="N3" s="17"/>
      <c r="O3" s="17"/>
      <c r="P3" s="17"/>
      <c r="Q3" s="17"/>
      <c r="R3" s="17"/>
      <c r="S3" s="17"/>
      <c r="T3" s="17"/>
      <c r="U3" s="19"/>
      <c r="V3" s="10"/>
      <c r="W3" s="10"/>
      <c r="X3" s="10"/>
      <c r="Y3" s="10"/>
      <c r="Z3" s="10"/>
      <c r="AA3" s="10"/>
    </row>
    <row r="4">
      <c r="A4" s="1" t="s">
        <v>157</v>
      </c>
      <c r="B4" s="31" t="s">
        <v>158</v>
      </c>
      <c r="C4" s="12">
        <v>0.17222222222222222</v>
      </c>
      <c r="D4" s="12">
        <f t="shared" ref="D4:J4" si="1">D3+C4-C3</f>
        <v>0.1930555556</v>
      </c>
      <c r="E4" s="12">
        <f t="shared" si="1"/>
        <v>0.2555555556</v>
      </c>
      <c r="F4" s="12">
        <f t="shared" si="1"/>
        <v>0.2972222222</v>
      </c>
      <c r="G4" s="12">
        <f t="shared" si="1"/>
        <v>0.3597222222</v>
      </c>
      <c r="H4" s="12">
        <f t="shared" si="1"/>
        <v>0.5680555556</v>
      </c>
      <c r="I4" s="12">
        <f t="shared" si="1"/>
        <v>0.6513888889</v>
      </c>
      <c r="J4" s="12">
        <f t="shared" si="1"/>
        <v>0.7347222222</v>
      </c>
      <c r="K4" s="16"/>
      <c r="L4" s="16"/>
      <c r="M4" s="16"/>
      <c r="N4" s="17"/>
      <c r="O4" s="17"/>
      <c r="P4" s="17"/>
      <c r="Q4" s="17"/>
      <c r="R4" s="17"/>
      <c r="S4" s="17"/>
      <c r="T4" s="17"/>
      <c r="U4" s="19"/>
    </row>
    <row r="5">
      <c r="A5" s="1" t="s">
        <v>160</v>
      </c>
      <c r="B5" s="31" t="s">
        <v>162</v>
      </c>
      <c r="C5" s="12">
        <v>0.17430555555555555</v>
      </c>
      <c r="D5" s="12">
        <f t="shared" ref="D5:J5" si="2">D4+C5-C4</f>
        <v>0.1951388889</v>
      </c>
      <c r="E5" s="12">
        <f t="shared" si="2"/>
        <v>0.2576388889</v>
      </c>
      <c r="F5" s="12">
        <f t="shared" si="2"/>
        <v>0.2993055556</v>
      </c>
      <c r="G5" s="12">
        <f t="shared" si="2"/>
        <v>0.3618055556</v>
      </c>
      <c r="H5" s="12">
        <f t="shared" si="2"/>
        <v>0.5701388889</v>
      </c>
      <c r="I5" s="12">
        <f t="shared" si="2"/>
        <v>0.6534722222</v>
      </c>
      <c r="J5" s="12">
        <f t="shared" si="2"/>
        <v>0.7368055556</v>
      </c>
      <c r="K5" s="16"/>
      <c r="L5" s="16"/>
      <c r="M5" s="16"/>
      <c r="N5" s="17"/>
      <c r="O5" s="17"/>
      <c r="P5" s="17"/>
      <c r="Q5" s="17"/>
      <c r="R5" s="17"/>
      <c r="S5" s="17"/>
      <c r="T5" s="17"/>
      <c r="U5" s="19"/>
    </row>
    <row r="6">
      <c r="A6" s="1" t="s">
        <v>166</v>
      </c>
      <c r="B6" s="31" t="s">
        <v>167</v>
      </c>
      <c r="C6" s="12">
        <v>0.1763888888888889</v>
      </c>
      <c r="D6" s="12">
        <f t="shared" ref="D6:J6" si="3">D5+C6-C5</f>
        <v>0.1972222222</v>
      </c>
      <c r="E6" s="12">
        <f t="shared" si="3"/>
        <v>0.2597222222</v>
      </c>
      <c r="F6" s="12">
        <f t="shared" si="3"/>
        <v>0.3013888889</v>
      </c>
      <c r="G6" s="12">
        <f t="shared" si="3"/>
        <v>0.3638888889</v>
      </c>
      <c r="H6" s="12">
        <f t="shared" si="3"/>
        <v>0.5722222222</v>
      </c>
      <c r="I6" s="12">
        <f t="shared" si="3"/>
        <v>0.6555555556</v>
      </c>
      <c r="J6" s="12">
        <f t="shared" si="3"/>
        <v>0.7388888889</v>
      </c>
      <c r="K6" s="16"/>
      <c r="L6" s="16"/>
      <c r="M6" s="16"/>
      <c r="N6" s="17"/>
      <c r="O6" s="17"/>
      <c r="P6" s="17"/>
      <c r="Q6" s="17"/>
      <c r="R6" s="17"/>
      <c r="S6" s="17"/>
      <c r="T6" s="17"/>
      <c r="U6" s="19"/>
    </row>
    <row r="7">
      <c r="A7" s="1" t="s">
        <v>170</v>
      </c>
      <c r="B7" s="31" t="s">
        <v>171</v>
      </c>
      <c r="C7" s="12">
        <v>0.17916666666666667</v>
      </c>
      <c r="D7" s="12">
        <f t="shared" ref="D7:J7" si="4">D6+C7-C6</f>
        <v>0.2</v>
      </c>
      <c r="E7" s="12">
        <f t="shared" si="4"/>
        <v>0.2625</v>
      </c>
      <c r="F7" s="12">
        <f t="shared" si="4"/>
        <v>0.3041666667</v>
      </c>
      <c r="G7" s="12">
        <f t="shared" si="4"/>
        <v>0.3666666667</v>
      </c>
      <c r="H7" s="12">
        <f t="shared" si="4"/>
        <v>0.575</v>
      </c>
      <c r="I7" s="12">
        <f t="shared" si="4"/>
        <v>0.6583333333</v>
      </c>
      <c r="J7" s="12">
        <f t="shared" si="4"/>
        <v>0.7416666667</v>
      </c>
      <c r="K7" s="16"/>
      <c r="L7" s="16"/>
      <c r="M7" s="16"/>
      <c r="N7" s="17"/>
      <c r="O7" s="17"/>
      <c r="P7" s="17"/>
      <c r="Q7" s="17"/>
      <c r="R7" s="17"/>
      <c r="S7" s="17"/>
      <c r="T7" s="17"/>
      <c r="U7" s="19"/>
    </row>
    <row r="8">
      <c r="A8" s="1" t="s">
        <v>168</v>
      </c>
      <c r="B8" s="31" t="s">
        <v>169</v>
      </c>
      <c r="C8" s="12">
        <v>0.18333333333333332</v>
      </c>
      <c r="D8" s="12">
        <f t="shared" ref="D8:J8" si="5">D7+C8-C7</f>
        <v>0.2041666667</v>
      </c>
      <c r="E8" s="12">
        <f t="shared" si="5"/>
        <v>0.2666666667</v>
      </c>
      <c r="F8" s="12">
        <f t="shared" si="5"/>
        <v>0.3083333333</v>
      </c>
      <c r="G8" s="12">
        <f t="shared" si="5"/>
        <v>0.3708333333</v>
      </c>
      <c r="H8" s="12">
        <f t="shared" si="5"/>
        <v>0.5791666667</v>
      </c>
      <c r="I8" s="12">
        <f t="shared" si="5"/>
        <v>0.6625</v>
      </c>
      <c r="J8" s="12">
        <f t="shared" si="5"/>
        <v>0.7458333333</v>
      </c>
      <c r="K8" s="16"/>
      <c r="L8" s="16"/>
      <c r="M8" s="16"/>
      <c r="N8" s="17"/>
      <c r="O8" s="17"/>
      <c r="P8" s="17"/>
      <c r="Q8" s="17"/>
      <c r="R8" s="17"/>
      <c r="S8" s="17"/>
      <c r="T8" s="17"/>
      <c r="U8" s="19"/>
    </row>
    <row r="9">
      <c r="A9" s="1" t="s">
        <v>164</v>
      </c>
      <c r="B9" s="31" t="s">
        <v>165</v>
      </c>
      <c r="C9" s="12">
        <v>0.1909722222222222</v>
      </c>
      <c r="D9" s="12">
        <f t="shared" ref="D9:J9" si="6">D8+C9-C8</f>
        <v>0.2118055556</v>
      </c>
      <c r="E9" s="12">
        <f t="shared" si="6"/>
        <v>0.2743055556</v>
      </c>
      <c r="F9" s="12">
        <f t="shared" si="6"/>
        <v>0.3159722222</v>
      </c>
      <c r="G9" s="12">
        <f t="shared" si="6"/>
        <v>0.3784722222</v>
      </c>
      <c r="H9" s="12">
        <f t="shared" si="6"/>
        <v>0.5868055556</v>
      </c>
      <c r="I9" s="12">
        <f t="shared" si="6"/>
        <v>0.6701388889</v>
      </c>
      <c r="J9" s="12">
        <f t="shared" si="6"/>
        <v>0.7534722222</v>
      </c>
      <c r="K9" s="16"/>
      <c r="L9" s="16"/>
      <c r="M9" s="16"/>
      <c r="N9" s="17"/>
      <c r="O9" s="17"/>
      <c r="P9" s="17"/>
      <c r="Q9" s="17"/>
      <c r="R9" s="17"/>
      <c r="S9" s="17"/>
      <c r="T9" s="17"/>
      <c r="U9" s="19"/>
    </row>
    <row r="10">
      <c r="A10" s="1" t="s">
        <v>161</v>
      </c>
      <c r="B10" s="31" t="s">
        <v>163</v>
      </c>
      <c r="C10" s="12">
        <v>0.19444444444444445</v>
      </c>
      <c r="D10" s="12">
        <f t="shared" ref="D10:J10" si="7">D9+C10-C9</f>
        <v>0.2152777778</v>
      </c>
      <c r="E10" s="12">
        <f t="shared" si="7"/>
        <v>0.2777777778</v>
      </c>
      <c r="F10" s="12">
        <f t="shared" si="7"/>
        <v>0.3194444444</v>
      </c>
      <c r="G10" s="12">
        <f t="shared" si="7"/>
        <v>0.3819444444</v>
      </c>
      <c r="H10" s="12">
        <f t="shared" si="7"/>
        <v>0.5902777778</v>
      </c>
      <c r="I10" s="12">
        <f t="shared" si="7"/>
        <v>0.6736111111</v>
      </c>
      <c r="J10" s="12">
        <f t="shared" si="7"/>
        <v>0.7569444444</v>
      </c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9"/>
    </row>
    <row r="11">
      <c r="A11" s="1" t="s">
        <v>83</v>
      </c>
      <c r="B11" s="31" t="s">
        <v>159</v>
      </c>
      <c r="C11" s="12">
        <v>0.19722222222222222</v>
      </c>
      <c r="D11" s="12">
        <f t="shared" ref="D11:J11" si="8">D10+C11-C10</f>
        <v>0.2180555556</v>
      </c>
      <c r="E11" s="12">
        <f t="shared" si="8"/>
        <v>0.2805555556</v>
      </c>
      <c r="F11" s="12">
        <f t="shared" si="8"/>
        <v>0.3222222222</v>
      </c>
      <c r="G11" s="12">
        <f t="shared" si="8"/>
        <v>0.3847222222</v>
      </c>
      <c r="H11" s="12">
        <f t="shared" si="8"/>
        <v>0.5930555556</v>
      </c>
      <c r="I11" s="12">
        <f t="shared" si="8"/>
        <v>0.6763888889</v>
      </c>
      <c r="J11" s="12">
        <f t="shared" si="8"/>
        <v>0.7597222222</v>
      </c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9"/>
    </row>
    <row r="12">
      <c r="A12" s="1" t="s">
        <v>85</v>
      </c>
      <c r="B12" s="31" t="s">
        <v>156</v>
      </c>
      <c r="C12" s="12">
        <v>0.20277777777777778</v>
      </c>
      <c r="D12" s="12">
        <f t="shared" ref="D12:J12" si="9">D11+C12-C11</f>
        <v>0.2236111111</v>
      </c>
      <c r="E12" s="12">
        <f t="shared" si="9"/>
        <v>0.2861111111</v>
      </c>
      <c r="F12" s="12">
        <f t="shared" si="9"/>
        <v>0.3277777778</v>
      </c>
      <c r="G12" s="12">
        <f t="shared" si="9"/>
        <v>0.3902777778</v>
      </c>
      <c r="H12" s="12">
        <f t="shared" si="9"/>
        <v>0.5986111111</v>
      </c>
      <c r="I12" s="12">
        <f t="shared" si="9"/>
        <v>0.6819444444</v>
      </c>
      <c r="J12" s="12">
        <f t="shared" si="9"/>
        <v>0.7652777778</v>
      </c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9"/>
    </row>
    <row r="13">
      <c r="A13" s="1" t="s">
        <v>80</v>
      </c>
      <c r="B13" s="31" t="s">
        <v>155</v>
      </c>
      <c r="C13" s="12">
        <v>0.20625</v>
      </c>
      <c r="D13" s="12">
        <f t="shared" ref="D13:J13" si="10">D12+C13-C12</f>
        <v>0.2270833333</v>
      </c>
      <c r="E13" s="12">
        <f t="shared" si="10"/>
        <v>0.2895833333</v>
      </c>
      <c r="F13" s="12">
        <f t="shared" si="10"/>
        <v>0.33125</v>
      </c>
      <c r="G13" s="12">
        <f t="shared" si="10"/>
        <v>0.39375</v>
      </c>
      <c r="H13" s="12">
        <f t="shared" si="10"/>
        <v>0.6020833333</v>
      </c>
      <c r="I13" s="12">
        <f t="shared" si="10"/>
        <v>0.6854166667</v>
      </c>
      <c r="J13" s="12">
        <f t="shared" si="10"/>
        <v>0.76875</v>
      </c>
      <c r="K13" s="16"/>
      <c r="L13" s="16"/>
      <c r="M13" s="16"/>
      <c r="N13" s="17"/>
      <c r="O13" s="17"/>
      <c r="P13" s="17"/>
      <c r="Q13" s="17"/>
      <c r="R13" s="17"/>
      <c r="S13" s="17"/>
      <c r="T13" s="17"/>
      <c r="U13" s="19"/>
    </row>
    <row r="14">
      <c r="A14" s="1" t="s">
        <v>75</v>
      </c>
      <c r="B14" s="11" t="s">
        <v>76</v>
      </c>
      <c r="C14" s="12">
        <v>0.2111111111111111</v>
      </c>
      <c r="D14" s="12">
        <f t="shared" ref="D14:J14" si="11">D13+C14-C13</f>
        <v>0.2319444444</v>
      </c>
      <c r="E14" s="12">
        <f t="shared" si="11"/>
        <v>0.2944444444</v>
      </c>
      <c r="F14" s="12">
        <f t="shared" si="11"/>
        <v>0.3361111111</v>
      </c>
      <c r="G14" s="12">
        <f t="shared" si="11"/>
        <v>0.3986111111</v>
      </c>
      <c r="H14" s="12">
        <f t="shared" si="11"/>
        <v>0.6069444444</v>
      </c>
      <c r="I14" s="12">
        <f t="shared" si="11"/>
        <v>0.6902777778</v>
      </c>
      <c r="J14" s="12">
        <f t="shared" si="11"/>
        <v>0.7736111111</v>
      </c>
      <c r="K14" s="16"/>
      <c r="L14" s="16"/>
      <c r="M14" s="16"/>
      <c r="N14" s="19"/>
      <c r="O14" s="19"/>
      <c r="P14" s="19"/>
      <c r="Q14" s="19"/>
      <c r="R14" s="19"/>
      <c r="S14" s="19"/>
      <c r="T14" s="19"/>
      <c r="U14" s="19"/>
    </row>
    <row r="15">
      <c r="A15" s="1" t="s">
        <v>69</v>
      </c>
      <c r="B15" s="15" t="s">
        <v>139</v>
      </c>
      <c r="C15" s="12">
        <v>0.2152777777777778</v>
      </c>
      <c r="D15" s="12">
        <f t="shared" ref="D15:J15" si="12">D14+C15-C14</f>
        <v>0.2361111111</v>
      </c>
      <c r="E15" s="12">
        <f t="shared" si="12"/>
        <v>0.2986111111</v>
      </c>
      <c r="F15" s="12">
        <f t="shared" si="12"/>
        <v>0.3402777778</v>
      </c>
      <c r="G15" s="12">
        <f t="shared" si="12"/>
        <v>0.4027777778</v>
      </c>
      <c r="H15" s="12">
        <f t="shared" si="12"/>
        <v>0.6111111111</v>
      </c>
      <c r="I15" s="12">
        <f t="shared" si="12"/>
        <v>0.6944444444</v>
      </c>
      <c r="J15" s="12">
        <f t="shared" si="12"/>
        <v>0.7777777778</v>
      </c>
      <c r="K15" s="16"/>
      <c r="L15" s="16"/>
      <c r="M15" s="16"/>
      <c r="N15" s="19"/>
      <c r="O15" s="19"/>
      <c r="P15" s="19"/>
      <c r="Q15" s="19"/>
      <c r="R15" s="19"/>
      <c r="S15" s="19"/>
      <c r="T15" s="19"/>
      <c r="U15" s="19"/>
    </row>
    <row r="16">
      <c r="A16" s="1" t="s">
        <v>67</v>
      </c>
      <c r="B16" s="31" t="s">
        <v>133</v>
      </c>
      <c r="C16" s="12">
        <v>0.22013888888888888</v>
      </c>
      <c r="D16" s="12">
        <f t="shared" ref="D16:J16" si="13">D15+C16-C15</f>
        <v>0.2409722222</v>
      </c>
      <c r="E16" s="12">
        <f t="shared" si="13"/>
        <v>0.3034722222</v>
      </c>
      <c r="F16" s="12">
        <f t="shared" si="13"/>
        <v>0.3451388889</v>
      </c>
      <c r="G16" s="12">
        <f t="shared" si="13"/>
        <v>0.4076388889</v>
      </c>
      <c r="H16" s="12">
        <f t="shared" si="13"/>
        <v>0.6159722222</v>
      </c>
      <c r="I16" s="12">
        <f t="shared" si="13"/>
        <v>0.6993055556</v>
      </c>
      <c r="J16" s="12">
        <f t="shared" si="13"/>
        <v>0.7826388889</v>
      </c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9"/>
    </row>
    <row r="17">
      <c r="A17" s="1" t="s">
        <v>65</v>
      </c>
      <c r="B17" s="31" t="s">
        <v>132</v>
      </c>
      <c r="C17" s="12">
        <v>0.22361111111111112</v>
      </c>
      <c r="D17" s="12">
        <f t="shared" ref="D17:J17" si="14">D16+C17-C16</f>
        <v>0.2444444444</v>
      </c>
      <c r="E17" s="12">
        <f t="shared" si="14"/>
        <v>0.3069444444</v>
      </c>
      <c r="F17" s="12">
        <f t="shared" si="14"/>
        <v>0.3486111111</v>
      </c>
      <c r="G17" s="12">
        <f t="shared" si="14"/>
        <v>0.4111111111</v>
      </c>
      <c r="H17" s="12">
        <f t="shared" si="14"/>
        <v>0.6194444444</v>
      </c>
      <c r="I17" s="12">
        <f t="shared" si="14"/>
        <v>0.7027777778</v>
      </c>
      <c r="J17" s="12">
        <f t="shared" si="14"/>
        <v>0.7861111111</v>
      </c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9"/>
    </row>
    <row r="18">
      <c r="A18" s="1" t="s">
        <v>63</v>
      </c>
      <c r="B18" s="31" t="s">
        <v>131</v>
      </c>
      <c r="C18" s="12">
        <v>0.22777777777777777</v>
      </c>
      <c r="D18" s="12">
        <f t="shared" ref="D18:J18" si="15">D17+C18-C17</f>
        <v>0.2486111111</v>
      </c>
      <c r="E18" s="12">
        <f t="shared" si="15"/>
        <v>0.3111111111</v>
      </c>
      <c r="F18" s="12">
        <f t="shared" si="15"/>
        <v>0.3527777778</v>
      </c>
      <c r="G18" s="12">
        <f t="shared" si="15"/>
        <v>0.4152777778</v>
      </c>
      <c r="H18" s="12">
        <f t="shared" si="15"/>
        <v>0.6236111111</v>
      </c>
      <c r="I18" s="12">
        <f t="shared" si="15"/>
        <v>0.7069444444</v>
      </c>
      <c r="J18" s="12">
        <f t="shared" si="15"/>
        <v>0.7902777778</v>
      </c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9"/>
    </row>
    <row r="19">
      <c r="A19" s="1" t="s">
        <v>61</v>
      </c>
      <c r="B19" s="31" t="s">
        <v>62</v>
      </c>
      <c r="C19" s="12">
        <v>0.2298611111111111</v>
      </c>
      <c r="D19" s="12">
        <f t="shared" ref="D19:J19" si="16">D18+C19-C18</f>
        <v>0.2506944444</v>
      </c>
      <c r="E19" s="12">
        <f t="shared" si="16"/>
        <v>0.3131944444</v>
      </c>
      <c r="F19" s="12">
        <f t="shared" si="16"/>
        <v>0.3548611111</v>
      </c>
      <c r="G19" s="12">
        <f t="shared" si="16"/>
        <v>0.4173611111</v>
      </c>
      <c r="H19" s="12">
        <f t="shared" si="16"/>
        <v>0.6256944444</v>
      </c>
      <c r="I19" s="12">
        <f t="shared" si="16"/>
        <v>0.7090277778</v>
      </c>
      <c r="J19" s="12">
        <f t="shared" si="16"/>
        <v>0.7923611111</v>
      </c>
      <c r="K19" s="16"/>
      <c r="L19" s="16"/>
      <c r="M19" s="40"/>
      <c r="N19" s="17"/>
      <c r="O19" s="17"/>
      <c r="P19" s="17"/>
      <c r="Q19" s="17"/>
      <c r="R19" s="17"/>
      <c r="S19" s="17"/>
      <c r="T19" s="17"/>
      <c r="U19" s="19"/>
    </row>
    <row r="20">
      <c r="A20" s="1" t="s">
        <v>59</v>
      </c>
      <c r="B20" s="19" t="s">
        <v>60</v>
      </c>
      <c r="C20" s="12">
        <v>0.23333333333333334</v>
      </c>
      <c r="D20" s="12">
        <f t="shared" ref="D20:J20" si="17">D19+C20-C19</f>
        <v>0.2541666667</v>
      </c>
      <c r="E20" s="12">
        <f t="shared" si="17"/>
        <v>0.3166666667</v>
      </c>
      <c r="F20" s="12">
        <f t="shared" si="17"/>
        <v>0.3583333333</v>
      </c>
      <c r="G20" s="12">
        <f t="shared" si="17"/>
        <v>0.4208333333</v>
      </c>
      <c r="H20" s="12">
        <f t="shared" si="17"/>
        <v>0.6291666667</v>
      </c>
      <c r="I20" s="12">
        <f t="shared" si="17"/>
        <v>0.7125</v>
      </c>
      <c r="J20" s="12">
        <f t="shared" si="17"/>
        <v>0.7958333333</v>
      </c>
      <c r="K20" s="16"/>
      <c r="L20" s="16"/>
      <c r="M20" s="40"/>
      <c r="N20" s="19"/>
      <c r="O20" s="19"/>
      <c r="P20" s="19"/>
      <c r="Q20" s="19"/>
      <c r="R20" s="19"/>
      <c r="S20" s="19"/>
      <c r="T20" s="19"/>
      <c r="U20" s="19"/>
    </row>
    <row r="21">
      <c r="A21" s="18" t="s">
        <v>55</v>
      </c>
      <c r="B21" s="16" t="s">
        <v>56</v>
      </c>
      <c r="C21" s="12"/>
      <c r="D21" s="12"/>
      <c r="E21" s="12"/>
      <c r="F21" s="12"/>
      <c r="G21" s="12"/>
      <c r="H21" s="12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9"/>
      <c r="F43" s="19"/>
      <c r="G43" s="19"/>
      <c r="H43" s="16"/>
      <c r="I43" s="16"/>
      <c r="J43" s="16"/>
    </row>
    <row r="44">
      <c r="A44" s="16"/>
      <c r="B44" s="38"/>
      <c r="C44" s="38"/>
      <c r="D44" s="38"/>
      <c r="E44" s="38"/>
      <c r="F44" s="19"/>
      <c r="G44" s="38"/>
      <c r="H44" s="19"/>
      <c r="I44" s="19"/>
      <c r="J44" s="19"/>
    </row>
    <row r="45">
      <c r="A45" s="36"/>
    </row>
    <row r="46">
      <c r="A46" s="1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172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4"/>
      <c r="W1" s="4"/>
      <c r="X1" s="4"/>
      <c r="Y1" s="4"/>
      <c r="Z1" s="4"/>
    </row>
    <row r="2">
      <c r="A2" s="21" t="s">
        <v>3</v>
      </c>
      <c r="B2" s="21" t="s">
        <v>4</v>
      </c>
      <c r="C2" s="21">
        <v>1052.0</v>
      </c>
      <c r="D2" s="21">
        <v>1062.0</v>
      </c>
      <c r="E2" s="21">
        <v>1072.0</v>
      </c>
      <c r="F2" s="21">
        <v>1082.0</v>
      </c>
      <c r="G2" s="21">
        <v>1092.0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" t="s">
        <v>55</v>
      </c>
      <c r="B3" s="8" t="s">
        <v>56</v>
      </c>
      <c r="C3" s="12">
        <v>0.5944444444444444</v>
      </c>
      <c r="D3" s="12">
        <v>0.6361111111111112</v>
      </c>
      <c r="E3" s="12">
        <v>0.6777777777777778</v>
      </c>
      <c r="F3" s="12">
        <v>0.7194444444444444</v>
      </c>
      <c r="G3" s="12">
        <v>0.7611111111111112</v>
      </c>
      <c r="H3" s="16"/>
      <c r="I3" s="18"/>
      <c r="J3" s="16"/>
      <c r="K3" s="17"/>
      <c r="L3" s="17"/>
      <c r="M3" s="17"/>
      <c r="N3" s="17"/>
      <c r="O3" s="17"/>
      <c r="P3" s="17"/>
      <c r="Q3" s="12"/>
      <c r="R3" s="12"/>
      <c r="S3" s="12"/>
    </row>
    <row r="4">
      <c r="A4" s="1" t="s">
        <v>59</v>
      </c>
      <c r="B4" s="8" t="s">
        <v>60</v>
      </c>
      <c r="C4" s="12">
        <v>0.5993055555555555</v>
      </c>
      <c r="D4" s="12">
        <v>0.6409722222222223</v>
      </c>
      <c r="E4" s="12">
        <f t="shared" ref="E4:E26" si="1">E3+D4-D3</f>
        <v>0.6826388889</v>
      </c>
      <c r="F4" s="12">
        <v>0.7243055555555555</v>
      </c>
      <c r="G4" s="12">
        <v>0.7659722222222223</v>
      </c>
      <c r="H4" s="16"/>
      <c r="I4" s="18"/>
      <c r="J4" s="42"/>
      <c r="K4" s="17"/>
      <c r="L4" s="17"/>
      <c r="M4" s="17"/>
      <c r="N4" s="17"/>
      <c r="O4" s="17"/>
      <c r="P4" s="17"/>
      <c r="Q4" s="12"/>
      <c r="R4" s="12"/>
      <c r="S4" s="12"/>
    </row>
    <row r="5">
      <c r="A5" s="1" t="s">
        <v>61</v>
      </c>
      <c r="B5" s="11" t="s">
        <v>62</v>
      </c>
      <c r="C5" s="12">
        <v>0.6027777777777777</v>
      </c>
      <c r="D5" s="12">
        <v>0.6444444444444445</v>
      </c>
      <c r="E5" s="12">
        <f t="shared" si="1"/>
        <v>0.6861111111</v>
      </c>
      <c r="F5" s="12">
        <v>0.7277777777777777</v>
      </c>
      <c r="G5" s="12">
        <v>0.7694444444444445</v>
      </c>
      <c r="H5" s="16"/>
      <c r="I5" s="18"/>
      <c r="J5" s="40"/>
      <c r="K5" s="17"/>
      <c r="L5" s="17"/>
      <c r="M5" s="17"/>
      <c r="N5" s="17"/>
      <c r="O5" s="17"/>
      <c r="P5" s="17"/>
      <c r="Q5" s="12"/>
      <c r="R5" s="12"/>
      <c r="S5" s="12"/>
    </row>
    <row r="6">
      <c r="A6" s="1" t="s">
        <v>63</v>
      </c>
      <c r="B6" s="11" t="s">
        <v>131</v>
      </c>
      <c r="C6" s="12">
        <v>0.6048611111111111</v>
      </c>
      <c r="D6" s="12">
        <v>0.6465277777777778</v>
      </c>
      <c r="E6" s="12">
        <f t="shared" si="1"/>
        <v>0.6881944444</v>
      </c>
      <c r="F6" s="12">
        <v>0.7298611111111111</v>
      </c>
      <c r="G6" s="12">
        <v>0.7715277777777778</v>
      </c>
      <c r="H6" s="16"/>
      <c r="I6" s="18"/>
      <c r="J6" s="16"/>
      <c r="K6" s="17"/>
      <c r="L6" s="17"/>
      <c r="M6" s="17"/>
      <c r="N6" s="17"/>
      <c r="O6" s="17"/>
      <c r="P6" s="17"/>
      <c r="Q6" s="12"/>
      <c r="R6" s="12"/>
      <c r="S6" s="12"/>
    </row>
    <row r="7">
      <c r="A7" s="1" t="s">
        <v>65</v>
      </c>
      <c r="B7" s="11" t="s">
        <v>132</v>
      </c>
      <c r="C7" s="12">
        <v>0.6090277777777777</v>
      </c>
      <c r="D7" s="12">
        <v>0.6506944444444445</v>
      </c>
      <c r="E7" s="12">
        <f t="shared" si="1"/>
        <v>0.6923611111</v>
      </c>
      <c r="F7" s="12">
        <v>0.7340277777777777</v>
      </c>
      <c r="G7" s="12">
        <v>0.7756944444444445</v>
      </c>
      <c r="H7" s="16"/>
      <c r="I7" s="16"/>
      <c r="J7" s="16"/>
      <c r="K7" s="17"/>
      <c r="L7" s="17"/>
      <c r="M7" s="17"/>
      <c r="N7" s="17"/>
      <c r="O7" s="17"/>
      <c r="P7" s="17"/>
      <c r="Q7" s="12"/>
      <c r="R7" s="12"/>
      <c r="S7" s="12"/>
    </row>
    <row r="8">
      <c r="A8" s="1" t="s">
        <v>67</v>
      </c>
      <c r="B8" s="11" t="s">
        <v>133</v>
      </c>
      <c r="C8" s="12">
        <v>0.6125</v>
      </c>
      <c r="D8" s="12">
        <v>0.6541666666666667</v>
      </c>
      <c r="E8" s="12">
        <f t="shared" si="1"/>
        <v>0.6958333333</v>
      </c>
      <c r="F8" s="12">
        <v>0.7375</v>
      </c>
      <c r="G8" s="12">
        <v>0.7791666666666667</v>
      </c>
      <c r="H8" s="16"/>
      <c r="I8" s="16"/>
      <c r="J8" s="16"/>
      <c r="K8" s="17"/>
      <c r="L8" s="17"/>
      <c r="M8" s="17"/>
      <c r="N8" s="17"/>
      <c r="O8" s="17"/>
      <c r="P8" s="17"/>
      <c r="Q8" s="12"/>
      <c r="R8" s="12"/>
      <c r="S8" s="12"/>
    </row>
    <row r="9">
      <c r="A9" s="1" t="s">
        <v>69</v>
      </c>
      <c r="B9" s="11" t="s">
        <v>139</v>
      </c>
      <c r="C9" s="12">
        <v>0.6152777777777778</v>
      </c>
      <c r="D9" s="12">
        <v>0.6569444444444444</v>
      </c>
      <c r="E9" s="12">
        <f t="shared" si="1"/>
        <v>0.6986111111</v>
      </c>
      <c r="F9" s="12">
        <v>0.7402777777777778</v>
      </c>
      <c r="G9" s="12">
        <v>0.7819444444444444</v>
      </c>
      <c r="H9" s="16"/>
      <c r="I9" s="16"/>
      <c r="J9" s="16"/>
      <c r="K9" s="17"/>
      <c r="L9" s="17"/>
      <c r="M9" s="17"/>
      <c r="N9" s="17"/>
      <c r="O9" s="17"/>
      <c r="P9" s="17"/>
      <c r="Q9" s="12"/>
      <c r="R9" s="12"/>
      <c r="S9" s="12"/>
    </row>
    <row r="10">
      <c r="A10" s="1" t="s">
        <v>173</v>
      </c>
      <c r="B10" s="11" t="s">
        <v>174</v>
      </c>
      <c r="C10" s="12">
        <v>0.6229166666666667</v>
      </c>
      <c r="D10" s="12">
        <v>0.6645833333333333</v>
      </c>
      <c r="E10" s="12">
        <f t="shared" si="1"/>
        <v>0.70625</v>
      </c>
      <c r="F10" s="12">
        <v>0.7479166666666667</v>
      </c>
      <c r="G10" s="12">
        <v>0.7895833333333333</v>
      </c>
      <c r="H10" s="16"/>
      <c r="I10" s="18"/>
      <c r="J10" s="16"/>
      <c r="K10" s="17"/>
      <c r="L10" s="17"/>
      <c r="M10" s="17"/>
      <c r="N10" s="17"/>
      <c r="O10" s="17"/>
      <c r="P10" s="17"/>
      <c r="Q10" s="12"/>
      <c r="R10" s="12"/>
      <c r="S10" s="12"/>
    </row>
    <row r="11">
      <c r="A11" s="1" t="s">
        <v>175</v>
      </c>
      <c r="B11" s="11" t="s">
        <v>176</v>
      </c>
      <c r="C11" s="12">
        <v>0.6270833333333333</v>
      </c>
      <c r="D11" s="12">
        <v>0.66875</v>
      </c>
      <c r="E11" s="12">
        <f t="shared" si="1"/>
        <v>0.7104166667</v>
      </c>
      <c r="F11" s="12">
        <v>0.7520833333333333</v>
      </c>
      <c r="G11" s="12">
        <v>0.79375</v>
      </c>
      <c r="H11" s="16"/>
      <c r="I11" s="43"/>
      <c r="J11" s="16"/>
      <c r="K11" s="17"/>
      <c r="L11" s="17"/>
      <c r="M11" s="17"/>
      <c r="N11" s="17"/>
      <c r="O11" s="17"/>
      <c r="P11" s="17"/>
      <c r="Q11" s="12"/>
      <c r="R11" s="12"/>
      <c r="S11" s="12"/>
    </row>
    <row r="12">
      <c r="A12" s="1" t="s">
        <v>177</v>
      </c>
      <c r="B12" s="11" t="s">
        <v>178</v>
      </c>
      <c r="C12" s="12">
        <v>0.63125</v>
      </c>
      <c r="D12" s="12">
        <v>0.6729166666666667</v>
      </c>
      <c r="E12" s="12">
        <f t="shared" si="1"/>
        <v>0.7145833333</v>
      </c>
      <c r="F12" s="12">
        <v>0.75625</v>
      </c>
      <c r="G12" s="12">
        <v>0.7979166666666667</v>
      </c>
      <c r="H12" s="16"/>
      <c r="I12" s="43"/>
      <c r="J12" s="16"/>
      <c r="K12" s="17"/>
      <c r="L12" s="17"/>
      <c r="M12" s="17"/>
      <c r="N12" s="17"/>
      <c r="O12" s="17"/>
      <c r="P12" s="17"/>
      <c r="Q12" s="12"/>
      <c r="R12" s="12"/>
      <c r="S12" s="12"/>
    </row>
    <row r="13">
      <c r="A13" s="1" t="s">
        <v>179</v>
      </c>
      <c r="B13" s="11" t="s">
        <v>180</v>
      </c>
      <c r="C13" s="12">
        <v>0.6368055555555555</v>
      </c>
      <c r="D13" s="12">
        <v>0.6784722222222223</v>
      </c>
      <c r="E13" s="12">
        <f t="shared" si="1"/>
        <v>0.7201388889</v>
      </c>
      <c r="F13" s="12">
        <v>0.7618055555555555</v>
      </c>
      <c r="G13" s="12">
        <v>0.8034722222222223</v>
      </c>
      <c r="H13" s="16"/>
      <c r="I13" s="43"/>
      <c r="J13" s="16"/>
      <c r="K13" s="19"/>
      <c r="L13" s="19"/>
      <c r="M13" s="19"/>
      <c r="N13" s="19"/>
      <c r="O13" s="19"/>
      <c r="P13" s="19"/>
      <c r="Q13" s="12"/>
      <c r="R13" s="12"/>
      <c r="S13" s="12"/>
    </row>
    <row r="14">
      <c r="A14" s="1" t="s">
        <v>181</v>
      </c>
      <c r="B14" s="11" t="s">
        <v>182</v>
      </c>
      <c r="C14" s="12">
        <v>0.6423611111111112</v>
      </c>
      <c r="D14" s="12">
        <v>0.6840277777777778</v>
      </c>
      <c r="E14" s="12">
        <f t="shared" si="1"/>
        <v>0.7256944444</v>
      </c>
      <c r="F14" s="12">
        <v>0.7673611111111112</v>
      </c>
      <c r="G14" s="12">
        <v>0.8090277777777778</v>
      </c>
      <c r="H14" s="16"/>
      <c r="I14" s="18"/>
      <c r="J14" s="16"/>
      <c r="K14" s="19"/>
      <c r="L14" s="19"/>
      <c r="M14" s="19"/>
      <c r="N14" s="19"/>
      <c r="O14" s="19"/>
      <c r="P14" s="19"/>
    </row>
    <row r="15">
      <c r="A15" s="1" t="s">
        <v>183</v>
      </c>
      <c r="B15" s="11" t="s">
        <v>184</v>
      </c>
      <c r="C15" s="12">
        <v>0.6472222222222223</v>
      </c>
      <c r="D15" s="12">
        <v>0.6888888888888889</v>
      </c>
      <c r="E15" s="12">
        <f t="shared" si="1"/>
        <v>0.7305555556</v>
      </c>
      <c r="F15" s="12">
        <v>0.7722222222222223</v>
      </c>
      <c r="G15" s="12">
        <v>0.8138888888888889</v>
      </c>
      <c r="H15" s="16"/>
      <c r="I15" s="43"/>
      <c r="J15" s="16"/>
      <c r="K15" s="17"/>
      <c r="L15" s="17"/>
      <c r="M15" s="17"/>
      <c r="N15" s="17"/>
      <c r="O15" s="17"/>
      <c r="P15" s="17"/>
    </row>
    <row r="16">
      <c r="A16" s="1" t="s">
        <v>185</v>
      </c>
      <c r="B16" s="11" t="s">
        <v>186</v>
      </c>
      <c r="C16" s="12">
        <v>0.6527777777777778</v>
      </c>
      <c r="D16" s="12">
        <v>0.6944444444444444</v>
      </c>
      <c r="E16" s="12">
        <f t="shared" si="1"/>
        <v>0.7361111111</v>
      </c>
      <c r="F16" s="12">
        <v>0.7777777777777778</v>
      </c>
      <c r="G16" s="12">
        <v>0.8194444444444444</v>
      </c>
      <c r="H16" s="16"/>
      <c r="I16" s="16"/>
      <c r="J16" s="16"/>
      <c r="K16" s="17"/>
      <c r="L16" s="17"/>
      <c r="M16" s="17"/>
      <c r="N16" s="17"/>
      <c r="O16" s="17"/>
      <c r="P16" s="17"/>
      <c r="Q16" s="12"/>
      <c r="R16" s="12"/>
      <c r="S16" s="12"/>
    </row>
    <row r="17">
      <c r="A17" s="1" t="s">
        <v>187</v>
      </c>
      <c r="B17" s="11" t="s">
        <v>188</v>
      </c>
      <c r="C17" s="12">
        <v>0.6576388888888889</v>
      </c>
      <c r="D17" s="12">
        <v>0.6993055555555555</v>
      </c>
      <c r="E17" s="12">
        <f t="shared" si="1"/>
        <v>0.7409722222</v>
      </c>
      <c r="F17" s="12">
        <v>0.7826388888888889</v>
      </c>
      <c r="G17" s="12">
        <v>0.8243055555555555</v>
      </c>
      <c r="H17" s="16"/>
      <c r="I17" s="16"/>
      <c r="J17" s="16"/>
      <c r="K17" s="17"/>
      <c r="L17" s="17"/>
      <c r="M17" s="17"/>
      <c r="N17" s="17"/>
      <c r="O17" s="17"/>
      <c r="P17" s="17"/>
      <c r="Q17" s="12"/>
      <c r="R17" s="12"/>
      <c r="S17" s="12"/>
    </row>
    <row r="18">
      <c r="A18" s="1" t="s">
        <v>189</v>
      </c>
      <c r="B18" s="11" t="s">
        <v>191</v>
      </c>
      <c r="C18" s="12">
        <v>0.6618055555555555</v>
      </c>
      <c r="D18" s="12">
        <v>0.7034722222222223</v>
      </c>
      <c r="E18" s="12">
        <f t="shared" si="1"/>
        <v>0.7451388889</v>
      </c>
      <c r="F18" s="12">
        <v>0.7868055555555555</v>
      </c>
      <c r="G18" s="12">
        <v>0.8284722222222223</v>
      </c>
      <c r="H18" s="16"/>
      <c r="I18" s="16"/>
      <c r="J18" s="16"/>
      <c r="K18" s="17"/>
      <c r="L18" s="17"/>
      <c r="M18" s="17"/>
      <c r="N18" s="17"/>
      <c r="O18" s="17"/>
      <c r="P18" s="17"/>
      <c r="Q18" s="12"/>
      <c r="R18" s="12"/>
      <c r="S18" s="12"/>
    </row>
    <row r="19">
      <c r="A19" s="1" t="s">
        <v>193</v>
      </c>
      <c r="B19" s="11" t="s">
        <v>194</v>
      </c>
      <c r="C19" s="12">
        <v>0.6652777777777777</v>
      </c>
      <c r="D19" s="12">
        <v>0.7069444444444445</v>
      </c>
      <c r="E19" s="12">
        <f t="shared" si="1"/>
        <v>0.7486111111</v>
      </c>
      <c r="F19" s="12">
        <v>0.7902777777777777</v>
      </c>
      <c r="G19" s="12">
        <v>0.8319444444444445</v>
      </c>
      <c r="H19" s="16"/>
      <c r="I19" s="18"/>
      <c r="J19" s="16"/>
      <c r="K19" s="19"/>
      <c r="L19" s="19"/>
      <c r="M19" s="19"/>
      <c r="N19" s="19"/>
      <c r="O19" s="19"/>
      <c r="P19" s="19"/>
      <c r="Q19" s="12"/>
      <c r="R19" s="12"/>
      <c r="S19" s="12"/>
    </row>
    <row r="20">
      <c r="A20" s="1" t="s">
        <v>195</v>
      </c>
      <c r="B20" s="45" t="s">
        <v>196</v>
      </c>
      <c r="C20" s="12">
        <v>0.6708333333333333</v>
      </c>
      <c r="D20" s="12">
        <v>0.7125</v>
      </c>
      <c r="E20" s="12">
        <f t="shared" si="1"/>
        <v>0.7541666667</v>
      </c>
      <c r="F20" s="12">
        <v>0.7958333333333333</v>
      </c>
      <c r="G20" s="12">
        <v>0.8375</v>
      </c>
      <c r="H20" s="16"/>
      <c r="I20" s="16"/>
      <c r="J20" s="16"/>
      <c r="K20" s="17"/>
      <c r="L20" s="17"/>
      <c r="M20" s="17"/>
      <c r="N20" s="17"/>
      <c r="O20" s="17"/>
      <c r="P20" s="17"/>
      <c r="Q20" s="16"/>
      <c r="R20" s="16"/>
      <c r="S20" s="16"/>
    </row>
    <row r="21">
      <c r="A21" s="18" t="s">
        <v>199</v>
      </c>
      <c r="B21" s="16" t="s">
        <v>200</v>
      </c>
      <c r="C21" s="12">
        <v>0.6756944444444445</v>
      </c>
      <c r="D21" s="12">
        <v>0.7173611111111111</v>
      </c>
      <c r="E21" s="12">
        <f t="shared" si="1"/>
        <v>0.7590277778</v>
      </c>
      <c r="F21" s="12">
        <v>0.8006944444444445</v>
      </c>
      <c r="G21" s="12">
        <v>0.8423611111111111</v>
      </c>
      <c r="H21" s="16"/>
      <c r="I21" s="43"/>
      <c r="J21" s="16"/>
      <c r="K21" s="17"/>
      <c r="L21" s="17"/>
      <c r="M21" s="17"/>
      <c r="N21" s="17"/>
      <c r="O21" s="17"/>
      <c r="P21" s="17"/>
      <c r="Q21" s="17"/>
      <c r="R21" s="17"/>
      <c r="S21" s="17"/>
    </row>
    <row r="22">
      <c r="A22" s="18" t="s">
        <v>201</v>
      </c>
      <c r="B22" s="16" t="s">
        <v>202</v>
      </c>
      <c r="C22" s="12">
        <v>0.6847222222222222</v>
      </c>
      <c r="D22" s="12">
        <v>0.7263888888888889</v>
      </c>
      <c r="E22" s="12">
        <f t="shared" si="1"/>
        <v>0.7680555556</v>
      </c>
      <c r="F22" s="12">
        <v>0.8097222222222222</v>
      </c>
      <c r="G22" s="12">
        <v>0.8513888888888889</v>
      </c>
      <c r="H22" s="16"/>
      <c r="I22" s="43"/>
      <c r="J22" s="16"/>
      <c r="K22" s="17"/>
      <c r="L22" s="17"/>
      <c r="M22" s="17"/>
      <c r="N22" s="17"/>
      <c r="O22" s="17"/>
      <c r="P22" s="17"/>
      <c r="Q22" s="17"/>
      <c r="R22" s="17"/>
      <c r="S22" s="17"/>
    </row>
    <row r="23">
      <c r="A23" s="18" t="s">
        <v>203</v>
      </c>
      <c r="B23" s="16" t="s">
        <v>204</v>
      </c>
      <c r="C23" s="12">
        <v>0.6923611111111111</v>
      </c>
      <c r="D23" s="12">
        <v>0.7340277777777777</v>
      </c>
      <c r="E23" s="12">
        <f t="shared" si="1"/>
        <v>0.7756944444</v>
      </c>
      <c r="F23" s="12">
        <v>0.8173611111111111</v>
      </c>
      <c r="G23" s="12">
        <v>0.8590277777777777</v>
      </c>
      <c r="H23" s="16"/>
      <c r="I23" s="43"/>
      <c r="J23" s="16"/>
      <c r="K23" s="17"/>
      <c r="L23" s="17"/>
      <c r="M23" s="17"/>
      <c r="N23" s="17"/>
      <c r="O23" s="17"/>
      <c r="P23" s="17"/>
      <c r="Q23" s="17"/>
      <c r="R23" s="17"/>
      <c r="S23" s="17"/>
    </row>
    <row r="24">
      <c r="A24" s="18" t="s">
        <v>205</v>
      </c>
      <c r="B24" s="16" t="s">
        <v>206</v>
      </c>
      <c r="C24" s="12">
        <v>0.6979166666666666</v>
      </c>
      <c r="D24" s="12">
        <v>0.7395833333333334</v>
      </c>
      <c r="E24" s="12">
        <f t="shared" si="1"/>
        <v>0.78125</v>
      </c>
      <c r="F24" s="12">
        <v>0.8229166666666666</v>
      </c>
      <c r="G24" s="12">
        <v>0.8645833333333334</v>
      </c>
      <c r="H24" s="16"/>
      <c r="I24" s="46"/>
      <c r="J24" s="16"/>
      <c r="K24" s="17"/>
      <c r="L24" s="17"/>
      <c r="M24" s="17"/>
      <c r="N24" s="17"/>
      <c r="O24" s="17"/>
      <c r="P24" s="17"/>
      <c r="Q24" s="17"/>
      <c r="R24" s="17"/>
      <c r="S24" s="17"/>
    </row>
    <row r="25">
      <c r="A25" s="18" t="s">
        <v>197</v>
      </c>
      <c r="B25" s="16" t="s">
        <v>198</v>
      </c>
      <c r="C25" s="12">
        <v>0.7013888888888888</v>
      </c>
      <c r="D25" s="12">
        <v>0.7430555555555556</v>
      </c>
      <c r="E25" s="12">
        <f t="shared" si="1"/>
        <v>0.7847222222</v>
      </c>
      <c r="F25" s="12">
        <v>0.8263888888888888</v>
      </c>
      <c r="G25" s="12">
        <v>0.8680555555555556</v>
      </c>
      <c r="H25" s="16"/>
      <c r="I25" s="16"/>
      <c r="J25" s="16"/>
      <c r="K25" s="17"/>
      <c r="L25" s="17"/>
      <c r="M25" s="17"/>
      <c r="N25" s="17"/>
      <c r="O25" s="17"/>
      <c r="P25" s="17"/>
      <c r="Q25" s="17"/>
      <c r="R25" s="17"/>
      <c r="S25" s="17"/>
    </row>
    <row r="26">
      <c r="A26" s="18" t="s">
        <v>190</v>
      </c>
      <c r="B26" s="16" t="s">
        <v>192</v>
      </c>
      <c r="C26" s="12">
        <v>0.7104166666666667</v>
      </c>
      <c r="D26" s="12">
        <v>0.7520833333333333</v>
      </c>
      <c r="E26" s="12">
        <f t="shared" si="1"/>
        <v>0.79375</v>
      </c>
      <c r="F26" s="12">
        <v>0.8354166666666667</v>
      </c>
      <c r="G26" s="12">
        <v>0.8770833333333333</v>
      </c>
      <c r="H26" s="16"/>
      <c r="I26" s="16"/>
      <c r="J26" s="16"/>
      <c r="K26" s="17"/>
      <c r="L26" s="17"/>
      <c r="M26" s="17"/>
      <c r="N26" s="17"/>
      <c r="O26" s="17"/>
      <c r="P26" s="17"/>
      <c r="Q26" s="17"/>
      <c r="R26" s="17"/>
      <c r="S26" s="17"/>
    </row>
    <row r="27">
      <c r="A27" s="16"/>
      <c r="B27" s="16"/>
      <c r="C27" s="12"/>
      <c r="D27" s="12"/>
      <c r="E27" s="12"/>
      <c r="F27" s="12"/>
      <c r="G27" s="12"/>
      <c r="H27" s="16"/>
      <c r="I27" s="18"/>
      <c r="J27" s="16"/>
      <c r="K27" s="17"/>
      <c r="L27" s="17"/>
      <c r="M27" s="17"/>
      <c r="N27" s="17"/>
      <c r="O27" s="17"/>
      <c r="P27" s="17"/>
      <c r="Q27" s="17"/>
      <c r="R27" s="17"/>
      <c r="S27" s="17"/>
    </row>
    <row r="28">
      <c r="A28" s="16"/>
      <c r="B28" s="19"/>
      <c r="C28" s="12"/>
      <c r="D28" s="12"/>
      <c r="E28" s="12"/>
      <c r="F28" s="12"/>
      <c r="G28" s="1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>
      <c r="A29" s="16"/>
      <c r="B29" s="19"/>
      <c r="C29" s="12"/>
      <c r="D29" s="12"/>
      <c r="E29" s="12"/>
      <c r="F29" s="12"/>
      <c r="G29" s="12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>
      <c r="A30" s="16"/>
      <c r="B30" s="19"/>
      <c r="C30" s="12"/>
      <c r="D30" s="12"/>
      <c r="E30" s="12"/>
      <c r="F30" s="12"/>
      <c r="G30" s="12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>
      <c r="A31" s="16"/>
      <c r="B31" s="19"/>
      <c r="C31" s="12"/>
      <c r="D31" s="12"/>
      <c r="E31" s="12"/>
      <c r="F31" s="12"/>
      <c r="G31" s="12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>
      <c r="A32" s="16"/>
      <c r="B32" s="19"/>
      <c r="C32" s="12"/>
      <c r="D32" s="12"/>
      <c r="E32" s="12"/>
      <c r="F32" s="12"/>
      <c r="G32" s="12"/>
      <c r="H32" s="16"/>
      <c r="I32" s="16"/>
    </row>
    <row r="33">
      <c r="A33" s="16"/>
      <c r="B33" s="19"/>
      <c r="C33" s="12"/>
      <c r="D33" s="12"/>
      <c r="E33" s="12"/>
      <c r="F33" s="12"/>
      <c r="G33" s="12"/>
      <c r="H33" s="19"/>
      <c r="I33" s="19"/>
    </row>
    <row r="34">
      <c r="A34" s="16"/>
      <c r="B34" s="19"/>
      <c r="C34" s="12"/>
      <c r="D34" s="12"/>
      <c r="E34" s="12"/>
      <c r="F34" s="12"/>
      <c r="G34" s="12"/>
      <c r="H34" s="19"/>
      <c r="I34" s="19"/>
    </row>
    <row r="35">
      <c r="A35" s="16"/>
      <c r="B35" s="19"/>
      <c r="C35" s="12"/>
      <c r="D35" s="12"/>
      <c r="E35" s="12"/>
      <c r="F35" s="12"/>
      <c r="G35" s="12"/>
      <c r="H35" s="19"/>
      <c r="I35" s="19"/>
    </row>
    <row r="36">
      <c r="A36" s="16"/>
      <c r="B36" s="17"/>
      <c r="C36" s="12"/>
      <c r="D36" s="12"/>
      <c r="E36" s="12"/>
      <c r="F36" s="12"/>
      <c r="G36" s="12"/>
      <c r="H36" s="16"/>
      <c r="I36" s="16"/>
    </row>
    <row r="37">
      <c r="A37" s="16"/>
      <c r="B37" s="19"/>
      <c r="C37" s="12"/>
      <c r="D37" s="12"/>
      <c r="E37" s="12"/>
      <c r="F37" s="12"/>
      <c r="G37" s="12"/>
      <c r="H37" s="16"/>
      <c r="I37" s="16"/>
    </row>
    <row r="38">
      <c r="A38" s="16"/>
      <c r="B38" s="19"/>
      <c r="C38" s="12"/>
      <c r="D38" s="12"/>
      <c r="E38" s="12"/>
      <c r="F38" s="12"/>
      <c r="G38" s="12"/>
      <c r="H38" s="16"/>
      <c r="I38" s="16"/>
    </row>
    <row r="39">
      <c r="A39" s="16"/>
      <c r="B39" s="19"/>
      <c r="C39" s="12"/>
      <c r="D39" s="12"/>
      <c r="E39" s="12"/>
      <c r="F39" s="12"/>
      <c r="G39" s="12"/>
      <c r="H39" s="19"/>
      <c r="I39" s="19"/>
    </row>
    <row r="40">
      <c r="A40" s="16"/>
      <c r="B40" s="19"/>
      <c r="C40" s="12"/>
      <c r="D40" s="12"/>
      <c r="E40" s="12"/>
      <c r="F40" s="12"/>
      <c r="G40" s="12"/>
      <c r="H40" s="19"/>
      <c r="I40" s="19"/>
    </row>
    <row r="41">
      <c r="A41" s="16"/>
      <c r="B41" s="19"/>
      <c r="C41" s="12"/>
      <c r="D41" s="12"/>
      <c r="E41" s="12"/>
      <c r="F41" s="12"/>
      <c r="G41" s="12"/>
      <c r="H41" s="16"/>
      <c r="I41" s="16"/>
    </row>
    <row r="42">
      <c r="A42" s="16"/>
      <c r="B42" s="19"/>
      <c r="C42" s="12"/>
      <c r="D42" s="12"/>
      <c r="E42" s="12"/>
      <c r="F42" s="12"/>
      <c r="G42" s="12"/>
      <c r="H42" s="16"/>
      <c r="I42" s="16"/>
    </row>
    <row r="43">
      <c r="A43" s="16"/>
      <c r="B43" s="19"/>
      <c r="C43" s="12"/>
      <c r="D43" s="12"/>
      <c r="E43" s="12"/>
      <c r="F43" s="12"/>
      <c r="G43" s="12"/>
      <c r="H43" s="19"/>
      <c r="I43" s="19"/>
    </row>
    <row r="44">
      <c r="A44" s="16"/>
      <c r="B44" s="19"/>
      <c r="C44" s="12"/>
      <c r="D44" s="12"/>
      <c r="E44" s="12"/>
      <c r="F44" s="12"/>
      <c r="G44" s="12"/>
      <c r="H44" s="16"/>
      <c r="I44" s="16"/>
    </row>
    <row r="45">
      <c r="A45" s="16"/>
      <c r="B45" s="19"/>
      <c r="C45" s="12"/>
      <c r="D45" s="12"/>
      <c r="E45" s="12"/>
      <c r="F45" s="12"/>
      <c r="G45" s="12"/>
      <c r="H45" s="19"/>
      <c r="I45" s="19"/>
    </row>
    <row r="46">
      <c r="A46" s="16"/>
      <c r="B46" s="19"/>
      <c r="C46" s="12"/>
      <c r="D46" s="12"/>
      <c r="E46" s="12"/>
      <c r="F46" s="12"/>
      <c r="G46" s="12"/>
    </row>
    <row r="47">
      <c r="A47" s="16"/>
      <c r="B47" s="19"/>
      <c r="C47" s="12"/>
      <c r="D47" s="12"/>
      <c r="E47" s="12"/>
      <c r="F47" s="12"/>
      <c r="G47" s="12"/>
    </row>
    <row r="48">
      <c r="A48" s="16"/>
      <c r="B48" s="19"/>
      <c r="C48" s="12"/>
      <c r="D48" s="12"/>
      <c r="E48" s="12"/>
      <c r="F48" s="12"/>
      <c r="G48" s="12"/>
    </row>
    <row r="49">
      <c r="A49" s="16"/>
      <c r="B49" s="19"/>
      <c r="C49" s="12"/>
      <c r="D49" s="12"/>
      <c r="E49" s="12"/>
      <c r="F49" s="12"/>
      <c r="G49" s="12"/>
    </row>
    <row r="50">
      <c r="A50" s="16"/>
      <c r="B50" s="19"/>
      <c r="C50" s="12"/>
      <c r="D50" s="12"/>
      <c r="E50" s="12"/>
      <c r="F50" s="12"/>
      <c r="G50" s="12"/>
    </row>
    <row r="51">
      <c r="A51" s="16"/>
      <c r="B51" s="19"/>
      <c r="C51" s="12"/>
      <c r="D51" s="12"/>
      <c r="E51" s="12"/>
      <c r="F51" s="12"/>
      <c r="G51" s="12"/>
    </row>
    <row r="52">
      <c r="A52" s="36"/>
    </row>
    <row r="53">
      <c r="A53" s="1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'DURBN-to-CATOR_Weekday'!B1</f>
        <v>46230</v>
      </c>
      <c r="C1" s="1" t="str">
        <f>'DURBN-to-CATOR_Weekday'!C1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4"/>
      <c r="W1" s="4"/>
      <c r="X1" s="4"/>
      <c r="Y1" s="4"/>
      <c r="Z1" s="4"/>
    </row>
    <row r="2">
      <c r="A2" s="21" t="s">
        <v>3</v>
      </c>
      <c r="B2" s="21" t="s">
        <v>4</v>
      </c>
      <c r="C2" s="21">
        <v>1013.0</v>
      </c>
      <c r="D2" s="21">
        <v>1019.0</v>
      </c>
      <c r="E2" s="21">
        <v>1023.0</v>
      </c>
      <c r="F2" s="21">
        <v>1031.0</v>
      </c>
      <c r="G2" s="21">
        <v>1033.0</v>
      </c>
      <c r="H2" s="16"/>
      <c r="I2" s="16"/>
      <c r="J2" s="16"/>
      <c r="K2" s="16"/>
      <c r="L2" s="16"/>
      <c r="M2" s="16"/>
      <c r="N2" s="16"/>
      <c r="O2" s="16"/>
      <c r="P2" s="16"/>
      <c r="Q2" s="21"/>
      <c r="R2" s="21"/>
      <c r="S2" s="21"/>
      <c r="T2" s="22"/>
      <c r="U2" s="22"/>
      <c r="V2" s="22"/>
      <c r="W2" s="22"/>
      <c r="X2" s="22"/>
      <c r="Y2" s="22"/>
      <c r="Z2" s="22"/>
    </row>
    <row r="3">
      <c r="A3" s="7" t="s">
        <v>190</v>
      </c>
      <c r="B3" s="44" t="s">
        <v>192</v>
      </c>
      <c r="C3" s="12">
        <v>0.13472222222222222</v>
      </c>
      <c r="D3" s="12">
        <v>0.15555555555555556</v>
      </c>
      <c r="E3" s="12">
        <v>0.1763888888888889</v>
      </c>
      <c r="F3" s="12">
        <v>0.19722222222222222</v>
      </c>
      <c r="G3" s="12">
        <v>0.21805555555555556</v>
      </c>
      <c r="H3" s="18"/>
      <c r="I3" s="18"/>
      <c r="J3" s="16"/>
      <c r="K3" s="17"/>
      <c r="L3" s="17"/>
      <c r="M3" s="17"/>
      <c r="N3" s="17"/>
      <c r="O3" s="17"/>
      <c r="P3" s="17"/>
      <c r="Q3" s="9"/>
      <c r="R3" s="9"/>
      <c r="S3" s="9"/>
      <c r="T3" s="10"/>
      <c r="U3" s="10"/>
      <c r="V3" s="10"/>
      <c r="W3" s="10"/>
      <c r="X3" s="10"/>
      <c r="Y3" s="10"/>
      <c r="Z3" s="10"/>
    </row>
    <row r="4">
      <c r="A4" s="1" t="s">
        <v>197</v>
      </c>
      <c r="B4" s="13" t="s">
        <v>198</v>
      </c>
      <c r="C4" s="12">
        <v>0.14166666666666666</v>
      </c>
      <c r="D4" s="12">
        <v>0.1625</v>
      </c>
      <c r="E4" s="12">
        <v>0.18333333333333332</v>
      </c>
      <c r="F4" s="12">
        <v>0.20416666666666666</v>
      </c>
      <c r="G4" s="12">
        <f t="shared" ref="G4:G26" si="1">G3+F4-F3</f>
        <v>0.225</v>
      </c>
      <c r="H4" s="16"/>
      <c r="I4" s="16"/>
      <c r="J4" s="16"/>
      <c r="K4" s="17"/>
      <c r="L4" s="17"/>
      <c r="M4" s="17"/>
      <c r="N4" s="17"/>
      <c r="O4" s="17"/>
      <c r="P4" s="17"/>
      <c r="Q4" s="12"/>
      <c r="R4" s="12"/>
      <c r="S4" s="12"/>
    </row>
    <row r="5">
      <c r="A5" s="1" t="s">
        <v>205</v>
      </c>
      <c r="B5" s="13" t="s">
        <v>206</v>
      </c>
      <c r="C5" s="12">
        <v>0.1451388888888889</v>
      </c>
      <c r="D5" s="12">
        <v>0.16597222222222222</v>
      </c>
      <c r="E5" s="12">
        <v>0.18680555555555556</v>
      </c>
      <c r="F5" s="12">
        <v>0.2076388888888889</v>
      </c>
      <c r="G5" s="12">
        <f t="shared" si="1"/>
        <v>0.2284722222</v>
      </c>
      <c r="H5" s="16"/>
      <c r="I5" s="16"/>
      <c r="J5" s="16"/>
      <c r="K5" s="17"/>
      <c r="L5" s="17"/>
      <c r="M5" s="17"/>
      <c r="N5" s="17"/>
      <c r="O5" s="17"/>
      <c r="P5" s="17"/>
      <c r="Q5" s="12"/>
      <c r="R5" s="12"/>
      <c r="S5" s="12"/>
    </row>
    <row r="6">
      <c r="A6" s="1" t="s">
        <v>203</v>
      </c>
      <c r="B6" s="13" t="s">
        <v>204</v>
      </c>
      <c r="C6" s="12">
        <v>0.1486111111111111</v>
      </c>
      <c r="D6" s="12">
        <v>0.16944444444444445</v>
      </c>
      <c r="E6" s="12">
        <v>0.19027777777777777</v>
      </c>
      <c r="F6" s="12">
        <v>0.2111111111111111</v>
      </c>
      <c r="G6" s="12">
        <f t="shared" si="1"/>
        <v>0.2319444444</v>
      </c>
      <c r="H6" s="46"/>
      <c r="I6" s="46"/>
      <c r="J6" s="16"/>
      <c r="K6" s="17"/>
      <c r="L6" s="17"/>
      <c r="M6" s="17"/>
      <c r="N6" s="17"/>
      <c r="O6" s="17"/>
      <c r="P6" s="17"/>
      <c r="Q6" s="12"/>
      <c r="R6" s="12"/>
      <c r="S6" s="12"/>
    </row>
    <row r="7">
      <c r="A7" s="1" t="s">
        <v>201</v>
      </c>
      <c r="B7" s="13" t="s">
        <v>202</v>
      </c>
      <c r="C7" s="12">
        <v>0.15486111111111112</v>
      </c>
      <c r="D7" s="12">
        <v>0.17569444444444443</v>
      </c>
      <c r="E7" s="12">
        <v>0.19652777777777777</v>
      </c>
      <c r="F7" s="12">
        <v>0.21736111111111112</v>
      </c>
      <c r="G7" s="12">
        <f t="shared" si="1"/>
        <v>0.2381944444</v>
      </c>
      <c r="H7" s="43"/>
      <c r="I7" s="43"/>
      <c r="J7" s="16"/>
      <c r="K7" s="17"/>
      <c r="L7" s="17"/>
      <c r="M7" s="17"/>
      <c r="N7" s="17"/>
      <c r="O7" s="17"/>
      <c r="P7" s="17"/>
      <c r="Q7" s="12"/>
      <c r="R7" s="12"/>
      <c r="S7" s="12"/>
    </row>
    <row r="8">
      <c r="A8" s="1" t="s">
        <v>199</v>
      </c>
      <c r="B8" s="13" t="s">
        <v>200</v>
      </c>
      <c r="C8" s="12">
        <v>0.16180555555555556</v>
      </c>
      <c r="D8" s="12">
        <v>0.18263888888888888</v>
      </c>
      <c r="E8" s="12">
        <v>0.20347222222222222</v>
      </c>
      <c r="F8" s="12">
        <v>0.22430555555555556</v>
      </c>
      <c r="G8" s="12">
        <f t="shared" si="1"/>
        <v>0.2451388889</v>
      </c>
      <c r="H8" s="43"/>
      <c r="I8" s="43"/>
      <c r="J8" s="16"/>
      <c r="K8" s="17"/>
      <c r="L8" s="17"/>
      <c r="M8" s="17"/>
      <c r="N8" s="17"/>
      <c r="O8" s="17"/>
      <c r="P8" s="17"/>
      <c r="Q8" s="12"/>
      <c r="R8" s="12"/>
      <c r="S8" s="12"/>
    </row>
    <row r="9">
      <c r="A9" s="1" t="s">
        <v>195</v>
      </c>
      <c r="B9" s="13" t="s">
        <v>196</v>
      </c>
      <c r="C9" s="12">
        <v>0.16875</v>
      </c>
      <c r="D9" s="12">
        <v>0.18958333333333333</v>
      </c>
      <c r="E9" s="12">
        <v>0.21041666666666667</v>
      </c>
      <c r="F9" s="12">
        <v>0.23125</v>
      </c>
      <c r="G9" s="12">
        <f t="shared" si="1"/>
        <v>0.2520833333</v>
      </c>
      <c r="H9" s="43"/>
      <c r="I9" s="43"/>
      <c r="J9" s="16"/>
      <c r="K9" s="17"/>
      <c r="L9" s="17"/>
      <c r="M9" s="17"/>
      <c r="N9" s="17"/>
      <c r="O9" s="17"/>
      <c r="P9" s="17"/>
      <c r="Q9" s="12"/>
      <c r="R9" s="12"/>
      <c r="S9" s="12"/>
    </row>
    <row r="10">
      <c r="A10" s="1" t="s">
        <v>193</v>
      </c>
      <c r="B10" s="13" t="s">
        <v>194</v>
      </c>
      <c r="C10" s="12">
        <v>0.175</v>
      </c>
      <c r="D10" s="12">
        <v>0.19583333333333333</v>
      </c>
      <c r="E10" s="12">
        <v>0.21666666666666667</v>
      </c>
      <c r="F10" s="12">
        <v>0.2375</v>
      </c>
      <c r="G10" s="12">
        <f t="shared" si="1"/>
        <v>0.2583333333</v>
      </c>
      <c r="H10" s="16"/>
      <c r="I10" s="16"/>
      <c r="J10" s="16"/>
      <c r="K10" s="17"/>
      <c r="L10" s="17"/>
      <c r="M10" s="17"/>
      <c r="N10" s="17"/>
      <c r="O10" s="17"/>
      <c r="P10" s="17"/>
      <c r="Q10" s="12"/>
      <c r="R10" s="12"/>
      <c r="S10" s="12"/>
    </row>
    <row r="11">
      <c r="A11" s="1" t="s">
        <v>189</v>
      </c>
      <c r="B11" s="13" t="s">
        <v>191</v>
      </c>
      <c r="C11" s="12">
        <v>0.1798611111111111</v>
      </c>
      <c r="D11" s="12">
        <v>0.20069444444444445</v>
      </c>
      <c r="E11" s="12">
        <v>0.22152777777777777</v>
      </c>
      <c r="F11" s="12">
        <v>0.2423611111111111</v>
      </c>
      <c r="G11" s="12">
        <f t="shared" si="1"/>
        <v>0.2631944444</v>
      </c>
      <c r="H11" s="18"/>
      <c r="I11" s="18"/>
      <c r="J11" s="16"/>
      <c r="K11" s="17"/>
      <c r="L11" s="17"/>
      <c r="M11" s="17"/>
      <c r="N11" s="17"/>
      <c r="O11" s="17"/>
      <c r="P11" s="17"/>
      <c r="Q11" s="12"/>
      <c r="R11" s="12"/>
      <c r="S11" s="12"/>
    </row>
    <row r="12">
      <c r="A12" s="1" t="s">
        <v>187</v>
      </c>
      <c r="B12" s="13" t="s">
        <v>188</v>
      </c>
      <c r="C12" s="12">
        <v>0.1840277777777778</v>
      </c>
      <c r="D12" s="12">
        <v>0.2048611111111111</v>
      </c>
      <c r="E12" s="12">
        <v>0.22569444444444445</v>
      </c>
      <c r="F12" s="12">
        <v>0.2465277777777778</v>
      </c>
      <c r="G12" s="12">
        <f t="shared" si="1"/>
        <v>0.2673611111</v>
      </c>
      <c r="H12" s="16"/>
      <c r="I12" s="16"/>
      <c r="J12" s="16"/>
      <c r="K12" s="17"/>
      <c r="L12" s="17"/>
      <c r="M12" s="17"/>
      <c r="N12" s="17"/>
      <c r="O12" s="17"/>
      <c r="P12" s="17"/>
      <c r="Q12" s="12"/>
      <c r="R12" s="12"/>
      <c r="S12" s="12"/>
    </row>
    <row r="13">
      <c r="A13" s="1" t="s">
        <v>185</v>
      </c>
      <c r="B13" s="13" t="s">
        <v>186</v>
      </c>
      <c r="C13" s="12">
        <v>0.18888888888888888</v>
      </c>
      <c r="D13" s="12">
        <v>0.20972222222222223</v>
      </c>
      <c r="E13" s="12">
        <v>0.23055555555555557</v>
      </c>
      <c r="F13" s="12">
        <v>0.2513888888888889</v>
      </c>
      <c r="G13" s="12">
        <f t="shared" si="1"/>
        <v>0.2722222222</v>
      </c>
      <c r="H13" s="16"/>
      <c r="I13" s="16"/>
      <c r="J13" s="16"/>
      <c r="K13" s="17"/>
      <c r="L13" s="17"/>
      <c r="M13" s="17"/>
      <c r="N13" s="17"/>
      <c r="O13" s="17"/>
      <c r="P13" s="17"/>
      <c r="Q13" s="12"/>
      <c r="R13" s="12"/>
      <c r="S13" s="12"/>
    </row>
    <row r="14">
      <c r="A14" s="1" t="s">
        <v>183</v>
      </c>
      <c r="B14" s="13" t="s">
        <v>184</v>
      </c>
      <c r="C14" s="12">
        <v>0.19375</v>
      </c>
      <c r="D14" s="12">
        <v>0.21458333333333332</v>
      </c>
      <c r="E14" s="12">
        <v>0.23541666666666666</v>
      </c>
      <c r="F14" s="12">
        <v>0.25625</v>
      </c>
      <c r="G14" s="12">
        <f t="shared" si="1"/>
        <v>0.2770833333</v>
      </c>
      <c r="H14" s="16"/>
      <c r="I14" s="16"/>
      <c r="J14" s="16"/>
      <c r="K14" s="19"/>
      <c r="L14" s="19"/>
      <c r="M14" s="19"/>
      <c r="N14" s="19"/>
      <c r="O14" s="19"/>
      <c r="P14" s="19"/>
    </row>
    <row r="15">
      <c r="A15" s="1" t="s">
        <v>181</v>
      </c>
      <c r="B15" s="15" t="s">
        <v>182</v>
      </c>
      <c r="C15" s="12">
        <v>0.2</v>
      </c>
      <c r="D15" s="12">
        <v>0.22083333333333333</v>
      </c>
      <c r="E15" s="12">
        <v>0.24166666666666667</v>
      </c>
      <c r="F15" s="12">
        <v>0.2625</v>
      </c>
      <c r="G15" s="12">
        <f t="shared" si="1"/>
        <v>0.2833333333</v>
      </c>
      <c r="H15" s="16"/>
      <c r="I15" s="16"/>
      <c r="J15" s="16"/>
      <c r="K15" s="19"/>
      <c r="L15" s="19"/>
      <c r="M15" s="19"/>
      <c r="N15" s="19"/>
      <c r="O15" s="19"/>
      <c r="P15" s="19"/>
    </row>
    <row r="16">
      <c r="A16" s="1" t="s">
        <v>179</v>
      </c>
      <c r="B16" s="15" t="s">
        <v>180</v>
      </c>
      <c r="C16" s="12">
        <v>0.2048611111111111</v>
      </c>
      <c r="D16" s="12">
        <v>0.22569444444444445</v>
      </c>
      <c r="E16" s="12">
        <v>0.2465277777777778</v>
      </c>
      <c r="F16" s="12">
        <v>0.2673611111111111</v>
      </c>
      <c r="G16" s="12">
        <f t="shared" si="1"/>
        <v>0.2881944444</v>
      </c>
      <c r="H16" s="18"/>
      <c r="I16" s="18"/>
      <c r="J16" s="16"/>
      <c r="K16" s="17"/>
      <c r="L16" s="17"/>
      <c r="M16" s="17"/>
      <c r="N16" s="17"/>
      <c r="O16" s="17"/>
      <c r="P16" s="17"/>
      <c r="Q16" s="12"/>
      <c r="R16" s="12"/>
      <c r="S16" s="12"/>
    </row>
    <row r="17">
      <c r="A17" s="1" t="s">
        <v>177</v>
      </c>
      <c r="B17" s="15" t="s">
        <v>178</v>
      </c>
      <c r="C17" s="12">
        <v>0.21041666666666667</v>
      </c>
      <c r="D17" s="12">
        <v>0.23125</v>
      </c>
      <c r="E17" s="12">
        <v>0.2520833333333333</v>
      </c>
      <c r="F17" s="12">
        <v>0.27291666666666664</v>
      </c>
      <c r="G17" s="12">
        <f t="shared" si="1"/>
        <v>0.29375</v>
      </c>
      <c r="H17" s="43"/>
      <c r="I17" s="43"/>
      <c r="J17" s="16"/>
      <c r="K17" s="17"/>
      <c r="L17" s="17"/>
      <c r="M17" s="17"/>
      <c r="N17" s="17"/>
      <c r="O17" s="17"/>
      <c r="P17" s="17"/>
      <c r="Q17" s="12"/>
      <c r="R17" s="12"/>
      <c r="S17" s="12"/>
    </row>
    <row r="18">
      <c r="A18" s="1" t="s">
        <v>175</v>
      </c>
      <c r="B18" s="15" t="s">
        <v>176</v>
      </c>
      <c r="C18" s="12">
        <v>0.21458333333333332</v>
      </c>
      <c r="D18" s="12">
        <v>0.23541666666666666</v>
      </c>
      <c r="E18" s="12">
        <v>0.25625</v>
      </c>
      <c r="F18" s="12">
        <v>0.27708333333333335</v>
      </c>
      <c r="G18" s="12">
        <f t="shared" si="1"/>
        <v>0.2979166667</v>
      </c>
      <c r="H18" s="43"/>
      <c r="I18" s="43"/>
      <c r="J18" s="16"/>
      <c r="K18" s="17"/>
      <c r="L18" s="17"/>
      <c r="M18" s="17"/>
      <c r="N18" s="17"/>
      <c r="O18" s="17"/>
      <c r="P18" s="17"/>
      <c r="Q18" s="12"/>
      <c r="R18" s="12"/>
      <c r="S18" s="12"/>
    </row>
    <row r="19">
      <c r="A19" s="1" t="s">
        <v>173</v>
      </c>
      <c r="B19" s="15" t="s">
        <v>174</v>
      </c>
      <c r="C19" s="12">
        <v>0.21944444444444444</v>
      </c>
      <c r="D19" s="12">
        <v>0.24027777777777778</v>
      </c>
      <c r="E19" s="12">
        <v>0.2611111111111111</v>
      </c>
      <c r="F19" s="12">
        <v>0.28194444444444444</v>
      </c>
      <c r="G19" s="12">
        <f t="shared" si="1"/>
        <v>0.3027777778</v>
      </c>
      <c r="H19" s="43"/>
      <c r="I19" s="43"/>
      <c r="J19" s="16"/>
      <c r="K19" s="17"/>
      <c r="L19" s="17"/>
      <c r="M19" s="17"/>
      <c r="N19" s="17"/>
      <c r="O19" s="17"/>
      <c r="P19" s="17"/>
      <c r="Q19" s="12"/>
      <c r="R19" s="12"/>
      <c r="S19" s="12"/>
    </row>
    <row r="20">
      <c r="A20" s="1" t="s">
        <v>69</v>
      </c>
      <c r="B20" s="16" t="s">
        <v>139</v>
      </c>
      <c r="C20" s="12">
        <v>0.22777777777777777</v>
      </c>
      <c r="D20" s="12">
        <v>0.24861111111111112</v>
      </c>
      <c r="E20" s="12">
        <v>0.26944444444444443</v>
      </c>
      <c r="F20" s="12">
        <v>0.2902777777777778</v>
      </c>
      <c r="G20" s="12">
        <f t="shared" si="1"/>
        <v>0.3111111111</v>
      </c>
      <c r="H20" s="18"/>
      <c r="I20" s="18"/>
      <c r="J20" s="16"/>
      <c r="K20" s="19"/>
      <c r="L20" s="19"/>
      <c r="M20" s="19"/>
      <c r="N20" s="19"/>
      <c r="O20" s="19"/>
      <c r="P20" s="19"/>
      <c r="Q20" s="16"/>
      <c r="R20" s="16"/>
      <c r="S20" s="16"/>
    </row>
    <row r="21">
      <c r="A21" s="18" t="s">
        <v>67</v>
      </c>
      <c r="B21" s="17" t="s">
        <v>133</v>
      </c>
      <c r="C21" s="12">
        <v>0.2326388888888889</v>
      </c>
      <c r="D21" s="12">
        <v>0.2534722222222222</v>
      </c>
      <c r="E21" s="12">
        <v>0.2743055555555556</v>
      </c>
      <c r="F21" s="12">
        <v>0.2951388888888889</v>
      </c>
      <c r="G21" s="12">
        <f t="shared" si="1"/>
        <v>0.3159722222</v>
      </c>
      <c r="H21" s="16"/>
      <c r="I21" s="16"/>
      <c r="J21" s="16"/>
      <c r="K21" s="17"/>
      <c r="L21" s="17"/>
      <c r="M21" s="17"/>
      <c r="N21" s="17"/>
      <c r="O21" s="17"/>
      <c r="P21" s="17"/>
      <c r="Q21" s="17"/>
      <c r="R21" s="17"/>
      <c r="S21" s="17"/>
    </row>
    <row r="22">
      <c r="A22" s="18" t="s">
        <v>65</v>
      </c>
      <c r="B22" s="17" t="s">
        <v>132</v>
      </c>
      <c r="C22" s="12">
        <v>0.2361111111111111</v>
      </c>
      <c r="D22" s="12">
        <v>0.2569444444444444</v>
      </c>
      <c r="E22" s="12">
        <v>0.2777777777777778</v>
      </c>
      <c r="F22" s="12">
        <v>0.2986111111111111</v>
      </c>
      <c r="G22" s="12">
        <f t="shared" si="1"/>
        <v>0.3194444444</v>
      </c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7"/>
    </row>
    <row r="23">
      <c r="A23" s="18" t="s">
        <v>63</v>
      </c>
      <c r="B23" s="17" t="s">
        <v>131</v>
      </c>
      <c r="C23" s="12">
        <v>0.24027777777777778</v>
      </c>
      <c r="D23" s="12">
        <v>0.2611111111111111</v>
      </c>
      <c r="E23" s="12">
        <v>0.28194444444444444</v>
      </c>
      <c r="F23" s="12">
        <v>0.30277777777777776</v>
      </c>
      <c r="G23" s="12">
        <f t="shared" si="1"/>
        <v>0.3236111111</v>
      </c>
      <c r="H23" s="16"/>
      <c r="I23" s="16"/>
      <c r="J23" s="16"/>
      <c r="K23" s="17"/>
      <c r="L23" s="17"/>
      <c r="M23" s="17"/>
      <c r="N23" s="17"/>
      <c r="O23" s="17"/>
      <c r="P23" s="17"/>
      <c r="Q23" s="17"/>
      <c r="R23" s="17"/>
      <c r="S23" s="17"/>
    </row>
    <row r="24">
      <c r="A24" s="18" t="s">
        <v>61</v>
      </c>
      <c r="B24" s="17" t="s">
        <v>62</v>
      </c>
      <c r="C24" s="12">
        <v>0.2423611111111111</v>
      </c>
      <c r="D24" s="12">
        <v>0.26319444444444445</v>
      </c>
      <c r="E24" s="12">
        <v>0.28402777777777777</v>
      </c>
      <c r="F24" s="12">
        <v>0.30486111111111114</v>
      </c>
      <c r="G24" s="12">
        <f t="shared" si="1"/>
        <v>0.3256944444</v>
      </c>
      <c r="H24" s="18"/>
      <c r="I24" s="18"/>
      <c r="J24" s="40"/>
      <c r="K24" s="17"/>
      <c r="L24" s="17"/>
      <c r="M24" s="17"/>
      <c r="N24" s="17"/>
      <c r="O24" s="17"/>
      <c r="P24" s="17"/>
      <c r="Q24" s="17"/>
      <c r="R24" s="17"/>
      <c r="S24" s="17"/>
    </row>
    <row r="25">
      <c r="A25" s="18" t="s">
        <v>59</v>
      </c>
      <c r="B25" s="17" t="s">
        <v>60</v>
      </c>
      <c r="C25" s="12">
        <v>0.24583333333333332</v>
      </c>
      <c r="D25" s="12">
        <v>0.26666666666666666</v>
      </c>
      <c r="E25" s="12">
        <v>0.2875</v>
      </c>
      <c r="F25" s="12">
        <v>0.30833333333333335</v>
      </c>
      <c r="G25" s="12">
        <f t="shared" si="1"/>
        <v>0.3291666667</v>
      </c>
      <c r="H25" s="18"/>
      <c r="I25" s="18"/>
      <c r="J25" s="16"/>
      <c r="K25" s="17"/>
      <c r="L25" s="17"/>
      <c r="M25" s="17"/>
      <c r="N25" s="17"/>
      <c r="O25" s="17"/>
      <c r="P25" s="17"/>
      <c r="Q25" s="17"/>
      <c r="R25" s="17"/>
      <c r="S25" s="17"/>
    </row>
    <row r="26">
      <c r="A26" s="18" t="s">
        <v>55</v>
      </c>
      <c r="B26" s="16" t="s">
        <v>56</v>
      </c>
      <c r="C26" s="12">
        <v>0.25069444444444444</v>
      </c>
      <c r="D26" s="12">
        <v>0.27152777777777776</v>
      </c>
      <c r="E26" s="12">
        <v>0.29236111111111107</v>
      </c>
      <c r="F26" s="12">
        <v>0.31319444444444444</v>
      </c>
      <c r="G26" s="12">
        <f t="shared" si="1"/>
        <v>0.3340277778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>
      <c r="A28" s="16"/>
      <c r="B28" s="16"/>
      <c r="C28" s="16"/>
      <c r="D28" s="16"/>
      <c r="E28" s="16"/>
      <c r="F28" s="17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>
      <c r="A31" s="16"/>
      <c r="B31" s="19"/>
      <c r="C31" s="19"/>
      <c r="D31" s="19"/>
      <c r="E31" s="19"/>
      <c r="F31" s="16"/>
      <c r="G31" s="19"/>
      <c r="H31" s="16"/>
      <c r="I31" s="16"/>
    </row>
    <row r="32">
      <c r="A32" s="16"/>
      <c r="B32" s="19"/>
      <c r="C32" s="19"/>
      <c r="D32" s="19"/>
      <c r="E32" s="19"/>
      <c r="F32" s="19"/>
      <c r="G32" s="19"/>
      <c r="H32" s="19"/>
      <c r="I32" s="19"/>
    </row>
    <row r="33">
      <c r="A33" s="16"/>
      <c r="B33" s="19"/>
      <c r="C33" s="19"/>
      <c r="D33" s="19"/>
      <c r="E33" s="19"/>
      <c r="F33" s="19"/>
      <c r="G33" s="19"/>
      <c r="H33" s="19"/>
      <c r="I33" s="19"/>
    </row>
    <row r="34">
      <c r="A34" s="16"/>
      <c r="B34" s="19"/>
      <c r="C34" s="19"/>
      <c r="D34" s="19"/>
      <c r="E34" s="19"/>
      <c r="F34" s="19"/>
      <c r="G34" s="19"/>
      <c r="H34" s="19"/>
      <c r="I34" s="19"/>
    </row>
    <row r="35">
      <c r="A35" s="16"/>
      <c r="B35" s="17"/>
      <c r="C35" s="19"/>
      <c r="D35" s="19"/>
      <c r="E35" s="19"/>
      <c r="F35" s="16"/>
      <c r="G35" s="19"/>
      <c r="H35" s="16"/>
      <c r="I35" s="16"/>
    </row>
    <row r="36">
      <c r="A36" s="16"/>
      <c r="B36" s="19"/>
      <c r="C36" s="19"/>
      <c r="D36" s="19"/>
      <c r="E36" s="19"/>
      <c r="F36" s="16"/>
      <c r="G36" s="19"/>
      <c r="H36" s="16"/>
      <c r="I36" s="16"/>
    </row>
    <row r="37">
      <c r="A37" s="16"/>
      <c r="B37" s="19"/>
      <c r="C37" s="19"/>
      <c r="D37" s="19"/>
      <c r="E37" s="19"/>
      <c r="F37" s="16"/>
      <c r="G37" s="19"/>
      <c r="H37" s="16"/>
      <c r="I37" s="16"/>
    </row>
    <row r="38">
      <c r="A38" s="16"/>
      <c r="B38" s="19"/>
      <c r="C38" s="19"/>
      <c r="D38" s="19"/>
      <c r="E38" s="19"/>
      <c r="F38" s="19"/>
      <c r="G38" s="19"/>
      <c r="H38" s="19"/>
      <c r="I38" s="19"/>
    </row>
    <row r="39">
      <c r="A39" s="16"/>
      <c r="B39" s="19"/>
      <c r="C39" s="19"/>
      <c r="D39" s="19"/>
      <c r="E39" s="19"/>
      <c r="F39" s="19"/>
      <c r="G39" s="19"/>
      <c r="H39" s="19"/>
      <c r="I39" s="19"/>
    </row>
    <row r="40">
      <c r="A40" s="16"/>
      <c r="B40" s="19"/>
      <c r="C40" s="19"/>
      <c r="D40" s="19"/>
      <c r="E40" s="19"/>
      <c r="F40" s="16"/>
      <c r="G40" s="19"/>
      <c r="H40" s="16"/>
      <c r="I40" s="16"/>
    </row>
    <row r="41">
      <c r="A41" s="16"/>
      <c r="B41" s="19"/>
      <c r="C41" s="19"/>
      <c r="D41" s="19"/>
      <c r="E41" s="19"/>
      <c r="F41" s="16"/>
      <c r="G41" s="19"/>
      <c r="H41" s="16"/>
      <c r="I41" s="16"/>
    </row>
    <row r="42">
      <c r="A42" s="16"/>
      <c r="B42" s="19"/>
      <c r="C42" s="19"/>
      <c r="D42" s="19"/>
      <c r="E42" s="19"/>
      <c r="F42" s="19"/>
      <c r="G42" s="19"/>
      <c r="H42" s="19"/>
      <c r="I42" s="19"/>
    </row>
    <row r="43">
      <c r="A43" s="16"/>
      <c r="B43" s="19"/>
      <c r="C43" s="19"/>
      <c r="D43" s="19"/>
      <c r="E43" s="19"/>
      <c r="F43" s="16"/>
      <c r="G43" s="19"/>
      <c r="H43" s="16"/>
      <c r="I43" s="16"/>
    </row>
    <row r="44">
      <c r="A44" s="16"/>
      <c r="B44" s="19"/>
      <c r="C44" s="19"/>
      <c r="D44" s="19"/>
      <c r="E44" s="19"/>
      <c r="F44" s="19"/>
      <c r="G44" s="19"/>
      <c r="H44" s="19"/>
      <c r="I44" s="19"/>
    </row>
    <row r="45">
      <c r="A45" s="16"/>
      <c r="B45" s="19"/>
      <c r="C45" s="19"/>
      <c r="D45" s="19"/>
      <c r="E45" s="19"/>
      <c r="G45" s="19"/>
    </row>
    <row r="46">
      <c r="A46" s="16"/>
      <c r="B46" s="19"/>
      <c r="C46" s="19"/>
      <c r="D46" s="19"/>
      <c r="E46" s="19"/>
      <c r="G46" s="19"/>
    </row>
    <row r="47">
      <c r="A47" s="16"/>
      <c r="B47" s="19"/>
      <c r="C47" s="19"/>
      <c r="D47" s="19"/>
      <c r="E47" s="19"/>
      <c r="G47" s="19"/>
    </row>
    <row r="48">
      <c r="A48" s="16"/>
      <c r="B48" s="19"/>
      <c r="C48" s="19"/>
      <c r="D48" s="19"/>
      <c r="E48" s="19"/>
      <c r="G48" s="19"/>
    </row>
    <row r="49">
      <c r="A49" s="16"/>
      <c r="B49" s="19"/>
      <c r="C49" s="19"/>
      <c r="D49" s="19"/>
      <c r="E49" s="19"/>
      <c r="G49" s="19"/>
    </row>
    <row r="50">
      <c r="A50" s="16"/>
      <c r="B50" s="19"/>
      <c r="C50" s="19"/>
      <c r="D50" s="19"/>
      <c r="E50" s="19"/>
      <c r="G50" s="19"/>
    </row>
    <row r="51">
      <c r="A51" s="16"/>
      <c r="B51" s="19"/>
      <c r="C51" s="19"/>
      <c r="D51" s="19"/>
      <c r="E51" s="19"/>
      <c r="G51" s="19"/>
    </row>
    <row r="52">
      <c r="A52" s="16"/>
      <c r="B52" s="19"/>
      <c r="C52" s="19"/>
      <c r="D52" s="19"/>
      <c r="E52" s="19"/>
      <c r="G52" s="19"/>
    </row>
    <row r="53">
      <c r="A53" s="36"/>
    </row>
    <row r="54">
      <c r="A54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'DURBN-to-CATOR_Weekday'!C1</f>
        <v>Z3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1062.0</v>
      </c>
      <c r="D2" s="21">
        <v>1072.0</v>
      </c>
      <c r="E2" s="21">
        <v>1082.0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8" t="s">
        <v>55</v>
      </c>
      <c r="B3" s="16" t="s">
        <v>56</v>
      </c>
      <c r="C3" s="12">
        <v>0.6361111111111111</v>
      </c>
      <c r="D3" s="12">
        <v>0.6777777777777778</v>
      </c>
      <c r="E3" s="12">
        <v>0.7194444444444444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0.6409722222222223</v>
      </c>
      <c r="D4" s="12">
        <v>0.6826388888888889</v>
      </c>
      <c r="E4" s="12">
        <v>0.7243055555555555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0.6444444444444445</v>
      </c>
      <c r="D5" s="12">
        <v>0.6861111111111111</v>
      </c>
      <c r="E5" s="12">
        <v>0.7277777777777777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131</v>
      </c>
      <c r="C6" s="12">
        <v>0.6465277777777778</v>
      </c>
      <c r="D6" s="12">
        <v>0.6881944444444444</v>
      </c>
      <c r="E6" s="12">
        <v>0.7298611111111111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65</v>
      </c>
      <c r="B7" s="11" t="s">
        <v>132</v>
      </c>
      <c r="C7" s="12">
        <v>0.6506944444444445</v>
      </c>
      <c r="D7" s="12">
        <v>0.6923611111111111</v>
      </c>
      <c r="E7" s="12">
        <v>0.7340277777777777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67</v>
      </c>
      <c r="B8" s="11" t="s">
        <v>133</v>
      </c>
      <c r="C8" s="12">
        <v>0.6541666666666667</v>
      </c>
      <c r="D8" s="12">
        <v>0.6958333333333333</v>
      </c>
      <c r="E8" s="12">
        <v>0.7375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69</v>
      </c>
      <c r="B9" s="11" t="s">
        <v>139</v>
      </c>
      <c r="C9" s="12">
        <v>0.6569444444444444</v>
      </c>
      <c r="D9" s="12">
        <v>0.6986111111111111</v>
      </c>
      <c r="E9" s="12">
        <v>0.7402777777777778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173</v>
      </c>
      <c r="B10" s="11" t="s">
        <v>174</v>
      </c>
      <c r="C10" s="12">
        <v>0.6645833333333333</v>
      </c>
      <c r="D10" s="12">
        <v>0.70625</v>
      </c>
      <c r="E10" s="12">
        <v>0.7479166666666667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175</v>
      </c>
      <c r="B11" s="11" t="s">
        <v>176</v>
      </c>
      <c r="C11" s="12">
        <v>0.66875</v>
      </c>
      <c r="D11" s="12">
        <v>0.7104166666666667</v>
      </c>
      <c r="E11" s="12">
        <v>0.7520833333333333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177</v>
      </c>
      <c r="B12" s="11" t="s">
        <v>178</v>
      </c>
      <c r="C12" s="12">
        <v>0.6729166666666667</v>
      </c>
      <c r="D12" s="12">
        <v>0.7145833333333333</v>
      </c>
      <c r="E12" s="12">
        <v>0.75625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179</v>
      </c>
      <c r="B13" s="11" t="s">
        <v>180</v>
      </c>
      <c r="C13" s="12">
        <v>0.6784722222222223</v>
      </c>
      <c r="D13" s="12">
        <v>0.7201388888888889</v>
      </c>
      <c r="E13" s="12">
        <v>0.7618055555555555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181</v>
      </c>
      <c r="B14" s="11" t="s">
        <v>182</v>
      </c>
      <c r="C14" s="12">
        <v>0.6840277777777778</v>
      </c>
      <c r="D14" s="12">
        <v>0.7256944444444444</v>
      </c>
      <c r="E14" s="12">
        <v>0.7673611111111112</v>
      </c>
      <c r="F14" s="12"/>
      <c r="G14" s="12"/>
      <c r="H14" s="12"/>
      <c r="I14" s="12"/>
      <c r="J14" s="12"/>
      <c r="K14" s="12"/>
    </row>
    <row r="15">
      <c r="A15" s="1" t="s">
        <v>183</v>
      </c>
      <c r="B15" s="11" t="s">
        <v>184</v>
      </c>
      <c r="C15" s="12">
        <v>0.6888888888888889</v>
      </c>
      <c r="D15" s="12">
        <v>0.7305555555555555</v>
      </c>
      <c r="E15" s="12">
        <v>0.7722222222222223</v>
      </c>
      <c r="F15" s="12"/>
      <c r="G15" s="12"/>
      <c r="H15" s="12"/>
      <c r="I15" s="12"/>
      <c r="J15" s="12"/>
      <c r="K15" s="12"/>
    </row>
    <row r="16">
      <c r="A16" s="1" t="s">
        <v>185</v>
      </c>
      <c r="B16" s="11" t="s">
        <v>186</v>
      </c>
      <c r="C16" s="12">
        <v>0.6944444444444444</v>
      </c>
      <c r="D16" s="12">
        <v>0.7361111111111112</v>
      </c>
      <c r="E16" s="12">
        <v>0.7777777777777778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187</v>
      </c>
      <c r="B17" s="11" t="s">
        <v>188</v>
      </c>
      <c r="C17" s="12">
        <v>0.6993055555555555</v>
      </c>
      <c r="D17" s="12">
        <v>0.7409722222222223</v>
      </c>
      <c r="E17" s="12">
        <v>0.7826388888888889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189</v>
      </c>
      <c r="B18" s="11" t="s">
        <v>191</v>
      </c>
      <c r="C18" s="12">
        <v>0.7034722222222223</v>
      </c>
      <c r="D18" s="12">
        <v>0.7451388888888889</v>
      </c>
      <c r="E18" s="12">
        <v>0.7868055555555555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193</v>
      </c>
      <c r="B19" s="11" t="s">
        <v>194</v>
      </c>
      <c r="C19" s="12">
        <v>0.7069444444444445</v>
      </c>
      <c r="D19" s="12">
        <v>0.7486111111111111</v>
      </c>
      <c r="E19" s="12">
        <v>0.7902777777777777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195</v>
      </c>
      <c r="B20" s="16" t="s">
        <v>196</v>
      </c>
      <c r="C20" s="12">
        <v>0.7125</v>
      </c>
      <c r="D20" s="12">
        <v>0.7541666666666667</v>
      </c>
      <c r="E20" s="12">
        <v>0.7958333333333333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199</v>
      </c>
      <c r="B21" s="16" t="s">
        <v>200</v>
      </c>
      <c r="C21" s="12">
        <v>0.7173611111111111</v>
      </c>
      <c r="D21" s="12">
        <v>0.7590277777777777</v>
      </c>
      <c r="E21" s="12">
        <v>0.8006944444444445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201</v>
      </c>
      <c r="B22" s="16" t="s">
        <v>202</v>
      </c>
      <c r="C22" s="12">
        <v>0.7263888888888889</v>
      </c>
      <c r="D22" s="12">
        <v>0.7680555555555556</v>
      </c>
      <c r="E22" s="12">
        <v>0.8097222222222222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203</v>
      </c>
      <c r="B23" s="16" t="s">
        <v>204</v>
      </c>
      <c r="C23" s="12">
        <v>0.7340277777777777</v>
      </c>
      <c r="D23" s="12">
        <v>0.7756944444444445</v>
      </c>
      <c r="E23" s="12">
        <v>0.8173611111111111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205</v>
      </c>
      <c r="B24" s="16" t="s">
        <v>206</v>
      </c>
      <c r="C24" s="12">
        <v>0.7395833333333334</v>
      </c>
      <c r="D24" s="12">
        <v>0.78125</v>
      </c>
      <c r="E24" s="12">
        <v>0.8229166666666666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197</v>
      </c>
      <c r="B25" s="16" t="s">
        <v>198</v>
      </c>
      <c r="C25" s="12">
        <v>0.7430555555555556</v>
      </c>
      <c r="D25" s="12">
        <v>0.7847222222222222</v>
      </c>
      <c r="E25" s="12">
        <v>0.8263888888888888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190</v>
      </c>
      <c r="B26" s="16" t="s">
        <v>192</v>
      </c>
      <c r="C26" s="12">
        <v>0.7520833333333333</v>
      </c>
      <c r="D26" s="12">
        <v>0.79375</v>
      </c>
      <c r="E26" s="12">
        <v>0.8354166666666667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6"/>
      <c r="F42" s="16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16"/>
      <c r="B52" s="19"/>
      <c r="C52" s="19"/>
      <c r="D52" s="19"/>
    </row>
    <row r="53">
      <c r="A53" s="16"/>
      <c r="B53" s="19"/>
      <c r="C53" s="19"/>
      <c r="D53" s="19"/>
    </row>
    <row r="54">
      <c r="A54" s="16"/>
      <c r="B54" s="19"/>
      <c r="C54" s="19"/>
      <c r="D54" s="19"/>
    </row>
    <row r="55">
      <c r="A55" s="16"/>
      <c r="B55" s="19"/>
      <c r="C55" s="19"/>
      <c r="D55" s="19"/>
    </row>
    <row r="56">
      <c r="A56" s="16"/>
      <c r="B56" s="19"/>
      <c r="C56" s="19"/>
      <c r="D56" s="19"/>
    </row>
    <row r="57">
      <c r="A57" s="16"/>
      <c r="B57" s="19"/>
      <c r="C57" s="19"/>
      <c r="D57" s="19"/>
    </row>
    <row r="58">
      <c r="A58" s="36"/>
    </row>
    <row r="59">
      <c r="A59" s="1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'DURBN-to-CATOR_Weekday'!C1</f>
        <v>Z3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1013.0</v>
      </c>
      <c r="D2" s="21">
        <v>1023.0</v>
      </c>
      <c r="E2" s="21">
        <v>1033.0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190</v>
      </c>
      <c r="B3" s="44" t="s">
        <v>192</v>
      </c>
      <c r="C3" s="12">
        <v>0.13472222222222222</v>
      </c>
      <c r="D3" s="12">
        <v>0.1763888888888889</v>
      </c>
      <c r="E3" s="12">
        <v>0.21805555555555556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197</v>
      </c>
      <c r="B4" s="13" t="s">
        <v>198</v>
      </c>
      <c r="C4" s="12">
        <v>0.14166666666666666</v>
      </c>
      <c r="D4" s="12">
        <v>0.18333333333333332</v>
      </c>
      <c r="E4" s="12">
        <v>0.225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205</v>
      </c>
      <c r="B5" s="13" t="s">
        <v>206</v>
      </c>
      <c r="C5" s="12">
        <v>0.1451388888888889</v>
      </c>
      <c r="D5" s="12">
        <v>0.18680555555555556</v>
      </c>
      <c r="E5" s="12">
        <v>0.22847222222222222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203</v>
      </c>
      <c r="B6" s="13" t="s">
        <v>204</v>
      </c>
      <c r="C6" s="12">
        <v>0.1486111111111111</v>
      </c>
      <c r="D6" s="12">
        <v>0.19027777777777777</v>
      </c>
      <c r="E6" s="12">
        <v>0.23194444444444445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201</v>
      </c>
      <c r="B7" s="13" t="s">
        <v>202</v>
      </c>
      <c r="C7" s="12">
        <v>0.15486111111111112</v>
      </c>
      <c r="D7" s="12">
        <v>0.19652777777777777</v>
      </c>
      <c r="E7" s="12">
        <v>0.23819444444444443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199</v>
      </c>
      <c r="B8" s="13" t="s">
        <v>200</v>
      </c>
      <c r="C8" s="12">
        <v>0.16180555555555556</v>
      </c>
      <c r="D8" s="12">
        <v>0.20347222222222222</v>
      </c>
      <c r="E8" s="12">
        <v>0.24513888888888888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195</v>
      </c>
      <c r="B9" s="13" t="s">
        <v>196</v>
      </c>
      <c r="C9" s="12">
        <v>0.16875</v>
      </c>
      <c r="D9" s="12">
        <v>0.21041666666666667</v>
      </c>
      <c r="E9" s="12">
        <v>0.2520833333333333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193</v>
      </c>
      <c r="B10" s="13" t="s">
        <v>194</v>
      </c>
      <c r="C10" s="12">
        <v>0.175</v>
      </c>
      <c r="D10" s="12">
        <v>0.21666666666666667</v>
      </c>
      <c r="E10" s="12">
        <v>0.25833333333333336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189</v>
      </c>
      <c r="B11" s="13" t="s">
        <v>191</v>
      </c>
      <c r="C11" s="12">
        <v>0.1798611111111111</v>
      </c>
      <c r="D11" s="12">
        <v>0.22152777777777777</v>
      </c>
      <c r="E11" s="12">
        <v>0.26319444444444445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187</v>
      </c>
      <c r="B12" s="13" t="s">
        <v>188</v>
      </c>
      <c r="C12" s="12">
        <v>0.1840277777777778</v>
      </c>
      <c r="D12" s="12">
        <v>0.22569444444444445</v>
      </c>
      <c r="E12" s="12">
        <v>0.2673611111111111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185</v>
      </c>
      <c r="B13" s="13" t="s">
        <v>186</v>
      </c>
      <c r="C13" s="12">
        <v>0.18888888888888888</v>
      </c>
      <c r="D13" s="12">
        <v>0.23055555555555557</v>
      </c>
      <c r="E13" s="12">
        <v>0.2722222222222222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183</v>
      </c>
      <c r="B14" s="13" t="s">
        <v>184</v>
      </c>
      <c r="C14" s="12">
        <v>0.19375</v>
      </c>
      <c r="D14" s="12">
        <v>0.23541666666666666</v>
      </c>
      <c r="E14" s="12">
        <v>0.27708333333333335</v>
      </c>
      <c r="F14" s="12"/>
      <c r="G14" s="12"/>
      <c r="H14" s="12"/>
      <c r="I14" s="12"/>
      <c r="J14" s="12"/>
      <c r="K14" s="12"/>
    </row>
    <row r="15">
      <c r="A15" s="1" t="s">
        <v>181</v>
      </c>
      <c r="B15" s="15" t="s">
        <v>182</v>
      </c>
      <c r="C15" s="12">
        <v>0.2</v>
      </c>
      <c r="D15" s="12">
        <v>0.24166666666666667</v>
      </c>
      <c r="E15" s="12">
        <v>0.2833333333333333</v>
      </c>
      <c r="F15" s="12"/>
      <c r="G15" s="12"/>
      <c r="H15" s="12"/>
      <c r="I15" s="12"/>
      <c r="J15" s="12"/>
      <c r="K15" s="12"/>
    </row>
    <row r="16">
      <c r="A16" s="1" t="s">
        <v>179</v>
      </c>
      <c r="B16" s="15" t="s">
        <v>180</v>
      </c>
      <c r="C16" s="12">
        <v>0.2048611111111111</v>
      </c>
      <c r="D16" s="12">
        <v>0.2465277777777778</v>
      </c>
      <c r="E16" s="12">
        <v>0.2881944444444444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177</v>
      </c>
      <c r="B17" s="15" t="s">
        <v>178</v>
      </c>
      <c r="C17" s="12">
        <v>0.21041666666666667</v>
      </c>
      <c r="D17" s="12">
        <v>0.2520833333333333</v>
      </c>
      <c r="E17" s="12">
        <v>0.29375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175</v>
      </c>
      <c r="B18" s="15" t="s">
        <v>176</v>
      </c>
      <c r="C18" s="12">
        <v>0.21458333333333332</v>
      </c>
      <c r="D18" s="12">
        <v>0.25625</v>
      </c>
      <c r="E18" s="12">
        <v>0.29791666666666666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173</v>
      </c>
      <c r="B19" s="15" t="s">
        <v>174</v>
      </c>
      <c r="C19" s="12">
        <v>0.21944444444444444</v>
      </c>
      <c r="D19" s="12">
        <v>0.2611111111111111</v>
      </c>
      <c r="E19" s="12">
        <v>0.30277777777777776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69</v>
      </c>
      <c r="B20" s="16" t="s">
        <v>139</v>
      </c>
      <c r="C20" s="12">
        <v>0.22777777777777777</v>
      </c>
      <c r="D20" s="12">
        <v>0.26944444444444443</v>
      </c>
      <c r="E20" s="12">
        <v>0.3111111111111111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67</v>
      </c>
      <c r="B21" s="17" t="s">
        <v>133</v>
      </c>
      <c r="C21" s="12">
        <v>0.2326388888888889</v>
      </c>
      <c r="D21" s="12">
        <v>0.2743055555555556</v>
      </c>
      <c r="E21" s="12">
        <v>0.3159722222222222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65</v>
      </c>
      <c r="B22" s="17" t="s">
        <v>132</v>
      </c>
      <c r="C22" s="12">
        <v>0.2361111111111111</v>
      </c>
      <c r="D22" s="12">
        <v>0.2777777777777778</v>
      </c>
      <c r="E22" s="12">
        <v>0.3194444444444444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63</v>
      </c>
      <c r="B23" s="17" t="s">
        <v>131</v>
      </c>
      <c r="C23" s="12">
        <v>0.24027777777777778</v>
      </c>
      <c r="D23" s="12">
        <v>0.28194444444444444</v>
      </c>
      <c r="E23" s="12">
        <v>0.3236111111111111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61</v>
      </c>
      <c r="B24" s="17" t="s">
        <v>62</v>
      </c>
      <c r="C24" s="12">
        <v>0.2423611111111111</v>
      </c>
      <c r="D24" s="12">
        <v>0.28402777777777777</v>
      </c>
      <c r="E24" s="12">
        <v>0.32569444444444445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59</v>
      </c>
      <c r="B25" s="17" t="s">
        <v>60</v>
      </c>
      <c r="C25" s="12">
        <v>0.24583333333333332</v>
      </c>
      <c r="D25" s="12">
        <v>0.2875</v>
      </c>
      <c r="E25" s="12">
        <v>0.32916666666666666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55</v>
      </c>
      <c r="B26" s="16" t="s">
        <v>56</v>
      </c>
      <c r="C26" s="12">
        <v>0.25069444444444444</v>
      </c>
      <c r="D26" s="12">
        <v>0.2923611111111111</v>
      </c>
      <c r="E26" s="12">
        <v>0.33402777777777776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6"/>
      <c r="F31" s="16"/>
      <c r="G31" s="16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  <row r="45">
      <c r="A45" s="16"/>
      <c r="B45" s="19"/>
      <c r="C45" s="19"/>
      <c r="D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36"/>
    </row>
    <row r="52">
      <c r="A52" s="1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31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207</v>
      </c>
      <c r="D2" s="39" t="s">
        <v>208</v>
      </c>
      <c r="E2" s="39" t="s">
        <v>209</v>
      </c>
      <c r="F2" s="39" t="s">
        <v>210</v>
      </c>
      <c r="G2" s="39" t="s">
        <v>211</v>
      </c>
      <c r="H2" s="39" t="s">
        <v>212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8" t="s">
        <v>55</v>
      </c>
      <c r="B3" s="16" t="s">
        <v>56</v>
      </c>
      <c r="C3" s="12">
        <v>0.23125</v>
      </c>
      <c r="D3" s="12">
        <f t="shared" ref="D3:H3" si="1">D4-(C4-C3)</f>
        <v>0.3145833333</v>
      </c>
      <c r="E3" s="12">
        <f t="shared" si="1"/>
        <v>0.5229166667</v>
      </c>
      <c r="F3" s="12">
        <f t="shared" si="1"/>
        <v>0.60625</v>
      </c>
      <c r="G3" s="12">
        <f t="shared" si="1"/>
        <v>0.6895833333</v>
      </c>
      <c r="H3" s="12">
        <f t="shared" si="1"/>
        <v>0.7729166667</v>
      </c>
      <c r="I3" s="12"/>
      <c r="J3" s="1"/>
      <c r="K3" s="8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8" t="s">
        <v>60</v>
      </c>
      <c r="C4" s="12">
        <v>0.2361111111111111</v>
      </c>
      <c r="D4" s="12">
        <v>0.3194444444444444</v>
      </c>
      <c r="E4" s="12">
        <v>0.5277777777777778</v>
      </c>
      <c r="F4" s="12">
        <v>0.6111111111111112</v>
      </c>
      <c r="G4" s="12">
        <v>0.6944444444444444</v>
      </c>
      <c r="H4" s="12">
        <v>0.7777777777777778</v>
      </c>
      <c r="I4" s="12"/>
      <c r="J4" s="1"/>
      <c r="K4" s="8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0.23958333333333334</v>
      </c>
      <c r="D5" s="12">
        <v>0.3229166666666667</v>
      </c>
      <c r="E5" s="12">
        <v>0.53125</v>
      </c>
      <c r="F5" s="12">
        <v>0.6145833333333334</v>
      </c>
      <c r="G5" s="12">
        <v>0.6979166666666666</v>
      </c>
      <c r="H5" s="12">
        <v>0.78125</v>
      </c>
      <c r="I5" s="12"/>
      <c r="J5" s="1"/>
      <c r="K5" s="11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131</v>
      </c>
      <c r="C6" s="12">
        <v>0.24166666666666667</v>
      </c>
      <c r="D6" s="12">
        <v>0.325</v>
      </c>
      <c r="E6" s="12">
        <v>0.5333333333333333</v>
      </c>
      <c r="F6" s="12">
        <v>0.6166666666666667</v>
      </c>
      <c r="G6" s="12">
        <v>0.7</v>
      </c>
      <c r="H6" s="12">
        <v>0.7833333333333333</v>
      </c>
      <c r="I6" s="12"/>
      <c r="J6" s="1"/>
      <c r="K6" s="11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65</v>
      </c>
      <c r="B7" s="11" t="s">
        <v>132</v>
      </c>
      <c r="C7" s="12">
        <v>0.24583333333333332</v>
      </c>
      <c r="D7" s="12">
        <v>0.32916666666666666</v>
      </c>
      <c r="E7" s="12">
        <v>0.5375</v>
      </c>
      <c r="F7" s="12">
        <v>0.6208333333333333</v>
      </c>
      <c r="G7" s="12">
        <v>0.7041666666666667</v>
      </c>
      <c r="H7" s="12">
        <v>0.7875</v>
      </c>
      <c r="I7" s="12"/>
      <c r="J7" s="1"/>
      <c r="K7" s="11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67</v>
      </c>
      <c r="B8" s="11" t="s">
        <v>133</v>
      </c>
      <c r="C8" s="12">
        <v>0.24930555555555556</v>
      </c>
      <c r="D8" s="12">
        <v>0.3326388888888889</v>
      </c>
      <c r="E8" s="12">
        <v>0.5409722222222222</v>
      </c>
      <c r="F8" s="12">
        <v>0.6243055555555556</v>
      </c>
      <c r="G8" s="12">
        <v>0.7076388888888889</v>
      </c>
      <c r="H8" s="12">
        <v>0.7909722222222222</v>
      </c>
      <c r="I8" s="12"/>
      <c r="J8" s="1"/>
      <c r="K8" s="11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69</v>
      </c>
      <c r="B9" s="11" t="s">
        <v>139</v>
      </c>
      <c r="C9" s="12">
        <v>0.2520833333333333</v>
      </c>
      <c r="D9" s="12">
        <v>0.33541666666666664</v>
      </c>
      <c r="E9" s="12">
        <v>0.54375</v>
      </c>
      <c r="F9" s="12">
        <v>0.6270833333333333</v>
      </c>
      <c r="G9" s="12">
        <v>0.7104166666666667</v>
      </c>
      <c r="H9" s="12">
        <v>0.79375</v>
      </c>
      <c r="I9" s="12"/>
      <c r="J9" s="1"/>
      <c r="K9" s="11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213</v>
      </c>
      <c r="B10" s="11" t="s">
        <v>214</v>
      </c>
      <c r="C10" s="12">
        <v>0.25625</v>
      </c>
      <c r="D10" s="12">
        <v>0.33958333333333335</v>
      </c>
      <c r="E10" s="12">
        <v>0.5479166666666667</v>
      </c>
      <c r="F10" s="12">
        <v>0.63125</v>
      </c>
      <c r="G10" s="12">
        <v>0.7145833333333333</v>
      </c>
      <c r="H10" s="12">
        <v>0.7979166666666667</v>
      </c>
      <c r="I10" s="12"/>
      <c r="J10" s="1"/>
      <c r="K10" s="11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215</v>
      </c>
      <c r="B11" s="11" t="s">
        <v>216</v>
      </c>
      <c r="C11" s="12">
        <v>0.2604166666666667</v>
      </c>
      <c r="D11" s="12">
        <v>0.34375</v>
      </c>
      <c r="E11" s="12">
        <v>0.5520833333333334</v>
      </c>
      <c r="F11" s="12">
        <v>0.6354166666666666</v>
      </c>
      <c r="G11" s="12">
        <v>0.71875</v>
      </c>
      <c r="H11" s="12">
        <v>0.8020833333333334</v>
      </c>
      <c r="I11" s="12"/>
      <c r="J11" s="1"/>
      <c r="K11" s="11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220</v>
      </c>
      <c r="B12" s="11" t="s">
        <v>222</v>
      </c>
      <c r="C12" s="12">
        <v>0.26319444444444445</v>
      </c>
      <c r="D12" s="12">
        <v>0.34652777777777777</v>
      </c>
      <c r="E12" s="12">
        <v>0.5548611111111111</v>
      </c>
      <c r="F12" s="12">
        <v>0.6381944444444444</v>
      </c>
      <c r="G12" s="12">
        <v>0.7215277777777778</v>
      </c>
      <c r="H12" s="12">
        <v>0.8048611111111111</v>
      </c>
      <c r="I12" s="12"/>
      <c r="J12" s="1"/>
      <c r="K12" s="11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225</v>
      </c>
      <c r="B13" s="11" t="s">
        <v>227</v>
      </c>
      <c r="C13" s="47">
        <v>0.2659722222222222</v>
      </c>
      <c r="D13" s="47">
        <v>0.34930555555555554</v>
      </c>
      <c r="E13" s="47">
        <v>0.5576388888888889</v>
      </c>
      <c r="F13" s="47">
        <v>0.6409722222222223</v>
      </c>
      <c r="G13" s="47">
        <v>0.7243055555555555</v>
      </c>
      <c r="H13" s="47">
        <v>0.8076388888888889</v>
      </c>
      <c r="I13" s="12"/>
      <c r="J13" s="1"/>
      <c r="K13" s="11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229</v>
      </c>
      <c r="B14" s="11" t="s">
        <v>230</v>
      </c>
      <c r="C14" s="12">
        <v>0.26875</v>
      </c>
      <c r="D14" s="12">
        <v>0.35208333333333336</v>
      </c>
      <c r="E14" s="12">
        <v>0.5604166666666667</v>
      </c>
      <c r="F14" s="12">
        <v>0.64375</v>
      </c>
      <c r="G14" s="12">
        <v>0.7270833333333333</v>
      </c>
      <c r="H14" s="12">
        <v>0.8104166666666667</v>
      </c>
      <c r="I14" s="12"/>
      <c r="J14" s="12"/>
      <c r="K14" s="12"/>
    </row>
    <row r="15">
      <c r="A15" s="1" t="s">
        <v>231</v>
      </c>
      <c r="B15" s="11" t="s">
        <v>232</v>
      </c>
      <c r="C15" s="12">
        <v>0.27291666666666664</v>
      </c>
      <c r="D15" s="12">
        <v>0.35625</v>
      </c>
      <c r="E15" s="12">
        <v>0.5645833333333333</v>
      </c>
      <c r="F15" s="12">
        <v>0.6479166666666667</v>
      </c>
      <c r="G15" s="12">
        <v>0.73125</v>
      </c>
      <c r="H15" s="12">
        <v>0.8145833333333333</v>
      </c>
      <c r="I15" s="12"/>
      <c r="J15" s="12"/>
      <c r="K15" s="12"/>
    </row>
    <row r="16">
      <c r="A16" s="1" t="s">
        <v>235</v>
      </c>
      <c r="B16" s="11" t="s">
        <v>236</v>
      </c>
      <c r="C16" s="12">
        <v>0.2763888888888889</v>
      </c>
      <c r="D16" s="12">
        <v>0.3597222222222222</v>
      </c>
      <c r="E16" s="12">
        <v>0.5680555555555555</v>
      </c>
      <c r="F16" s="12">
        <v>0.6513888888888889</v>
      </c>
      <c r="G16" s="12">
        <v>0.7347222222222223</v>
      </c>
      <c r="H16" s="12">
        <v>0.8180555555555555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239</v>
      </c>
      <c r="B17" s="11" t="s">
        <v>240</v>
      </c>
      <c r="C17" s="12">
        <v>0.28055555555555556</v>
      </c>
      <c r="D17" s="12">
        <v>0.3638888888888889</v>
      </c>
      <c r="E17" s="12">
        <v>0.5722222222222222</v>
      </c>
      <c r="F17" s="12">
        <v>0.6555555555555556</v>
      </c>
      <c r="G17" s="12">
        <v>0.7388888888888889</v>
      </c>
      <c r="H17" s="12">
        <v>0.8222222222222222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237</v>
      </c>
      <c r="B18" s="11" t="s">
        <v>238</v>
      </c>
      <c r="C18" s="12">
        <v>0.2826388888888889</v>
      </c>
      <c r="D18" s="12">
        <v>0.3659722222222222</v>
      </c>
      <c r="E18" s="12">
        <v>0.5743055555555555</v>
      </c>
      <c r="F18" s="12">
        <v>0.6576388888888889</v>
      </c>
      <c r="G18" s="12">
        <v>0.7409722222222223</v>
      </c>
      <c r="H18" s="12">
        <v>0.8243055555555555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233</v>
      </c>
      <c r="B19" s="11" t="s">
        <v>234</v>
      </c>
      <c r="C19" s="47">
        <v>0.28402777777777777</v>
      </c>
      <c r="D19" s="47">
        <v>0.36736111111111114</v>
      </c>
      <c r="E19" s="47">
        <v>0.5756944444444444</v>
      </c>
      <c r="F19" s="47">
        <v>0.6590277777777778</v>
      </c>
      <c r="G19" s="47">
        <v>0.7423611111111111</v>
      </c>
      <c r="H19" s="47">
        <v>0.8256944444444444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226</v>
      </c>
      <c r="B20" s="16" t="s">
        <v>228</v>
      </c>
      <c r="C20" s="12">
        <v>0.2881944444444444</v>
      </c>
      <c r="D20" s="12">
        <v>0.3715277777777778</v>
      </c>
      <c r="E20" s="12">
        <v>0.5798611111111112</v>
      </c>
      <c r="F20" s="12">
        <v>0.6631944444444444</v>
      </c>
      <c r="G20" s="12">
        <v>0.7465277777777778</v>
      </c>
      <c r="H20" s="12">
        <v>0.8298611111111112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9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32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'DURBN-to-PINET_Weekday'!B1</f>
        <v>46230</v>
      </c>
      <c r="C1" s="1" t="str">
        <f>'DURBN-to-PINET_Weekday'!C1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217</v>
      </c>
      <c r="D2" s="39" t="s">
        <v>218</v>
      </c>
      <c r="E2" s="39" t="s">
        <v>219</v>
      </c>
      <c r="F2" s="39" t="s">
        <v>221</v>
      </c>
      <c r="G2" s="39" t="s">
        <v>223</v>
      </c>
      <c r="H2" s="39" t="s">
        <v>224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226</v>
      </c>
      <c r="B3" s="48" t="s">
        <v>228</v>
      </c>
      <c r="C3" s="12">
        <v>0.20972222222222223</v>
      </c>
      <c r="D3" s="12">
        <v>0.29305555555555557</v>
      </c>
      <c r="E3" s="12">
        <v>0.3763888888888889</v>
      </c>
      <c r="F3" s="12">
        <v>0.5847222222222223</v>
      </c>
      <c r="G3" s="12">
        <v>0.6680555555555555</v>
      </c>
      <c r="H3" s="12">
        <v>0.7513888888888889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233</v>
      </c>
      <c r="B4" s="31" t="s">
        <v>234</v>
      </c>
      <c r="C4" s="47">
        <v>0.21319444444444444</v>
      </c>
      <c r="D4" s="47">
        <v>0.2965277777777778</v>
      </c>
      <c r="E4" s="47">
        <v>0.3798611111111111</v>
      </c>
      <c r="F4" s="47">
        <v>0.5881944444444445</v>
      </c>
      <c r="G4" s="47">
        <v>0.6715277777777777</v>
      </c>
      <c r="H4" s="47">
        <v>0.7548611111111111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237</v>
      </c>
      <c r="B5" s="11" t="s">
        <v>238</v>
      </c>
      <c r="C5" s="12">
        <v>0.21597222222222223</v>
      </c>
      <c r="D5" s="12">
        <v>0.29930555555555555</v>
      </c>
      <c r="E5" s="12">
        <v>0.38263888888888886</v>
      </c>
      <c r="F5" s="12">
        <v>0.5909722222222222</v>
      </c>
      <c r="G5" s="12">
        <v>0.6743055555555556</v>
      </c>
      <c r="H5" s="12">
        <v>0.7576388888888889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239</v>
      </c>
      <c r="B6" s="31" t="s">
        <v>240</v>
      </c>
      <c r="C6" s="12">
        <v>0.21805555555555556</v>
      </c>
      <c r="D6" s="12">
        <v>0.3013888888888889</v>
      </c>
      <c r="E6" s="12">
        <v>0.38472222222222224</v>
      </c>
      <c r="F6" s="12">
        <v>0.5930555555555556</v>
      </c>
      <c r="G6" s="12">
        <v>0.6763888888888889</v>
      </c>
      <c r="H6" s="12">
        <v>0.7597222222222222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235</v>
      </c>
      <c r="B7" s="31" t="s">
        <v>236</v>
      </c>
      <c r="C7" s="12">
        <v>0.22083333333333333</v>
      </c>
      <c r="D7" s="12">
        <v>0.30416666666666664</v>
      </c>
      <c r="E7" s="12">
        <v>0.3875</v>
      </c>
      <c r="F7" s="12">
        <v>0.5958333333333333</v>
      </c>
      <c r="G7" s="12">
        <v>0.6791666666666667</v>
      </c>
      <c r="H7" s="12">
        <v>0.7625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231</v>
      </c>
      <c r="B8" s="31" t="s">
        <v>232</v>
      </c>
      <c r="C8" s="12">
        <v>0.22569444444444445</v>
      </c>
      <c r="D8" s="12">
        <v>0.3090277777777778</v>
      </c>
      <c r="E8" s="12">
        <v>0.3923611111111111</v>
      </c>
      <c r="F8" s="12">
        <v>0.6006944444444444</v>
      </c>
      <c r="G8" s="12">
        <v>0.6840277777777778</v>
      </c>
      <c r="H8" s="12">
        <v>0.7673611111111112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229</v>
      </c>
      <c r="B9" s="31" t="s">
        <v>230</v>
      </c>
      <c r="C9" s="12">
        <v>0.22916666666666666</v>
      </c>
      <c r="D9" s="12">
        <v>0.3125</v>
      </c>
      <c r="E9" s="12">
        <v>0.3958333333333333</v>
      </c>
      <c r="F9" s="12">
        <v>0.6041666666666666</v>
      </c>
      <c r="G9" s="12">
        <v>0.6875</v>
      </c>
      <c r="H9" s="12">
        <v>0.7708333333333334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225</v>
      </c>
      <c r="B10" s="31" t="s">
        <v>227</v>
      </c>
      <c r="C10" s="47">
        <v>0.23194444444444445</v>
      </c>
      <c r="D10" s="47">
        <v>0.31527777777777777</v>
      </c>
      <c r="E10" s="47">
        <v>0.39861111111111114</v>
      </c>
      <c r="F10" s="47">
        <v>0.6069444444444444</v>
      </c>
      <c r="G10" s="47">
        <v>0.6902777777777778</v>
      </c>
      <c r="H10" s="47">
        <v>0.7736111111111111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220</v>
      </c>
      <c r="B11" s="31" t="s">
        <v>222</v>
      </c>
      <c r="C11" s="12">
        <v>0.23472222222222222</v>
      </c>
      <c r="D11" s="12">
        <v>0.31805555555555554</v>
      </c>
      <c r="E11" s="12">
        <v>0.4013888888888889</v>
      </c>
      <c r="F11" s="12">
        <v>0.6097222222222223</v>
      </c>
      <c r="G11" s="12">
        <v>0.6930555555555555</v>
      </c>
      <c r="H11" s="12">
        <v>0.7763888888888889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215</v>
      </c>
      <c r="B12" s="31" t="s">
        <v>216</v>
      </c>
      <c r="C12" s="12">
        <v>0.2388888888888889</v>
      </c>
      <c r="D12" s="12">
        <v>0.32222222222222224</v>
      </c>
      <c r="E12" s="12">
        <v>0.40555555555555556</v>
      </c>
      <c r="F12" s="12">
        <v>0.6138888888888889</v>
      </c>
      <c r="G12" s="12">
        <v>0.6972222222222222</v>
      </c>
      <c r="H12" s="12">
        <v>0.7805555555555556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213</v>
      </c>
      <c r="B13" s="31" t="s">
        <v>214</v>
      </c>
      <c r="C13" s="12">
        <v>0.2423611111111111</v>
      </c>
      <c r="D13" s="12">
        <v>0.32569444444444445</v>
      </c>
      <c r="E13" s="12">
        <v>0.40902777777777777</v>
      </c>
      <c r="F13" s="12">
        <v>0.6173611111111111</v>
      </c>
      <c r="G13" s="12">
        <v>0.7006944444444444</v>
      </c>
      <c r="H13" s="12">
        <v>0.7840277777777778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69</v>
      </c>
      <c r="B14" s="31" t="s">
        <v>139</v>
      </c>
      <c r="C14" s="12">
        <v>0.2465277777777778</v>
      </c>
      <c r="D14" s="12">
        <v>0.3298611111111111</v>
      </c>
      <c r="E14" s="12">
        <v>0.4131944444444444</v>
      </c>
      <c r="F14" s="12">
        <v>0.6215277777777778</v>
      </c>
      <c r="G14" s="12">
        <v>0.7048611111111112</v>
      </c>
      <c r="H14" s="12">
        <v>0.7881944444444444</v>
      </c>
      <c r="I14" s="12"/>
      <c r="J14" s="12"/>
      <c r="K14" s="12"/>
    </row>
    <row r="15">
      <c r="A15" s="1" t="s">
        <v>67</v>
      </c>
      <c r="B15" s="31" t="s">
        <v>133</v>
      </c>
      <c r="C15" s="12">
        <v>0.2513888888888889</v>
      </c>
      <c r="D15" s="12">
        <v>0.3347222222222222</v>
      </c>
      <c r="E15" s="12">
        <v>0.41805555555555557</v>
      </c>
      <c r="F15" s="12">
        <v>0.6263888888888889</v>
      </c>
      <c r="G15" s="12">
        <v>0.7097222222222223</v>
      </c>
      <c r="H15" s="12">
        <v>0.7930555555555555</v>
      </c>
      <c r="I15" s="12"/>
      <c r="J15" s="12"/>
      <c r="K15" s="12"/>
    </row>
    <row r="16">
      <c r="A16" s="1" t="s">
        <v>65</v>
      </c>
      <c r="B16" s="15" t="s">
        <v>132</v>
      </c>
      <c r="C16" s="12">
        <v>0.2548611111111111</v>
      </c>
      <c r="D16" s="12">
        <v>0.33819444444444446</v>
      </c>
      <c r="E16" s="12">
        <v>0.4215277777777778</v>
      </c>
      <c r="F16" s="12">
        <v>0.6298611111111111</v>
      </c>
      <c r="G16" s="12">
        <v>0.7131944444444445</v>
      </c>
      <c r="H16" s="12">
        <v>0.7965277777777777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63</v>
      </c>
      <c r="B17" s="31" t="s">
        <v>131</v>
      </c>
      <c r="C17" s="12">
        <v>0.2590277777777778</v>
      </c>
      <c r="D17" s="12">
        <v>0.3423611111111111</v>
      </c>
      <c r="E17" s="12">
        <v>0.42569444444444443</v>
      </c>
      <c r="F17" s="12">
        <v>0.6340277777777777</v>
      </c>
      <c r="G17" s="12">
        <v>0.7173611111111111</v>
      </c>
      <c r="H17" s="12">
        <v>0.8006944444444445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61</v>
      </c>
      <c r="B18" s="31" t="s">
        <v>62</v>
      </c>
      <c r="C18" s="12">
        <v>0.2611111111111111</v>
      </c>
      <c r="D18" s="12">
        <v>0.34444444444444444</v>
      </c>
      <c r="E18" s="12">
        <v>0.42777777777777776</v>
      </c>
      <c r="F18" s="12">
        <v>0.6361111111111111</v>
      </c>
      <c r="G18" s="12">
        <v>0.7194444444444444</v>
      </c>
      <c r="H18" s="12">
        <v>0.8027777777777778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59</v>
      </c>
      <c r="B19" s="31" t="s">
        <v>60</v>
      </c>
      <c r="C19" s="12">
        <v>0.26458333333333334</v>
      </c>
      <c r="D19" s="12">
        <v>0.34791666666666665</v>
      </c>
      <c r="E19" s="12">
        <v>0.43125</v>
      </c>
      <c r="F19" s="12">
        <v>0.6395833333333333</v>
      </c>
      <c r="G19" s="12">
        <v>0.7229166666666667</v>
      </c>
      <c r="H19" s="12">
        <v>0.80625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" t="s">
        <v>55</v>
      </c>
      <c r="B20" s="16" t="s">
        <v>56</v>
      </c>
      <c r="C20" s="12">
        <v>0.26944444444444443</v>
      </c>
      <c r="D20" s="12">
        <f t="shared" ref="D20:H20" si="1">D19+C20-C19</f>
        <v>0.3527777778</v>
      </c>
      <c r="E20" s="12">
        <f t="shared" si="1"/>
        <v>0.4361111111</v>
      </c>
      <c r="F20" s="12">
        <f t="shared" si="1"/>
        <v>0.6444444444</v>
      </c>
      <c r="G20" s="12">
        <f t="shared" si="1"/>
        <v>0.7277777778</v>
      </c>
      <c r="H20" s="12">
        <f t="shared" si="1"/>
        <v>0.8111111111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32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'DURBN-to-PINET_Weekday'!C1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207</v>
      </c>
      <c r="D2" s="39" t="s">
        <v>208</v>
      </c>
      <c r="E2" s="39" t="s">
        <v>211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8" t="s">
        <v>55</v>
      </c>
      <c r="B3" s="16" t="s">
        <v>56</v>
      </c>
      <c r="C3" s="12">
        <f t="shared" ref="C3:E3" si="1">C4-TIME(0,7,0)</f>
        <v>0.23125</v>
      </c>
      <c r="D3" s="12">
        <f t="shared" si="1"/>
        <v>0.3145833333</v>
      </c>
      <c r="E3" s="12">
        <f t="shared" si="1"/>
        <v>0.73125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0.2361111111111111</v>
      </c>
      <c r="D4" s="12">
        <v>0.3194444444444444</v>
      </c>
      <c r="E4" s="12">
        <v>0.7361111111111112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0.23958333333333334</v>
      </c>
      <c r="D5" s="12">
        <v>0.3229166666666667</v>
      </c>
      <c r="E5" s="12">
        <v>0.7395833333333334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131</v>
      </c>
      <c r="C6" s="12">
        <v>0.24166666666666667</v>
      </c>
      <c r="D6" s="12">
        <v>0.325</v>
      </c>
      <c r="E6" s="12">
        <v>0.7416666666666667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65</v>
      </c>
      <c r="B7" s="11" t="s">
        <v>132</v>
      </c>
      <c r="C7" s="12">
        <v>0.24583333333333332</v>
      </c>
      <c r="D7" s="12">
        <v>0.32916666666666666</v>
      </c>
      <c r="E7" s="12">
        <v>0.7458333333333333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67</v>
      </c>
      <c r="B8" s="11" t="s">
        <v>133</v>
      </c>
      <c r="C8" s="12">
        <v>0.24930555555555556</v>
      </c>
      <c r="D8" s="12">
        <v>0.3326388888888889</v>
      </c>
      <c r="E8" s="12">
        <v>0.7493055555555556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69</v>
      </c>
      <c r="B9" s="11" t="s">
        <v>139</v>
      </c>
      <c r="C9" s="12">
        <v>0.2520833333333333</v>
      </c>
      <c r="D9" s="12">
        <v>0.33541666666666664</v>
      </c>
      <c r="E9" s="12">
        <v>0.7520833333333333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213</v>
      </c>
      <c r="B10" s="11" t="s">
        <v>214</v>
      </c>
      <c r="C10" s="12">
        <v>0.25625</v>
      </c>
      <c r="D10" s="12">
        <v>0.33958333333333335</v>
      </c>
      <c r="E10" s="12">
        <v>0.75625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215</v>
      </c>
      <c r="B11" s="11" t="s">
        <v>216</v>
      </c>
      <c r="C11" s="12">
        <v>0.2604166666666667</v>
      </c>
      <c r="D11" s="12">
        <v>0.34375</v>
      </c>
      <c r="E11" s="12">
        <v>0.7604166666666666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220</v>
      </c>
      <c r="B12" s="11" t="s">
        <v>222</v>
      </c>
      <c r="C12" s="12">
        <v>0.26319444444444445</v>
      </c>
      <c r="D12" s="12">
        <v>0.34652777777777777</v>
      </c>
      <c r="E12" s="12">
        <v>0.7631944444444444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225</v>
      </c>
      <c r="B13" s="11" t="s">
        <v>227</v>
      </c>
      <c r="C13" s="47">
        <v>0.2659722222222222</v>
      </c>
      <c r="D13" s="47">
        <v>0.34930555555555554</v>
      </c>
      <c r="E13" s="47">
        <v>0.7659722222222223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229</v>
      </c>
      <c r="B14" s="11" t="s">
        <v>230</v>
      </c>
      <c r="C14" s="12">
        <v>0.26875</v>
      </c>
      <c r="D14" s="12">
        <v>0.35208333333333336</v>
      </c>
      <c r="E14" s="12">
        <v>0.76875</v>
      </c>
      <c r="F14" s="12"/>
      <c r="G14" s="12"/>
      <c r="H14" s="12"/>
      <c r="I14" s="12"/>
      <c r="J14" s="12"/>
      <c r="K14" s="12"/>
    </row>
    <row r="15">
      <c r="A15" s="1" t="s">
        <v>231</v>
      </c>
      <c r="B15" s="11" t="s">
        <v>232</v>
      </c>
      <c r="C15" s="12">
        <v>0.27291666666666664</v>
      </c>
      <c r="D15" s="12">
        <v>0.35625</v>
      </c>
      <c r="E15" s="12">
        <v>0.7729166666666667</v>
      </c>
      <c r="F15" s="12"/>
      <c r="G15" s="12"/>
      <c r="H15" s="12"/>
      <c r="I15" s="12"/>
      <c r="J15" s="12"/>
      <c r="K15" s="12"/>
    </row>
    <row r="16">
      <c r="A16" s="1" t="s">
        <v>235</v>
      </c>
      <c r="B16" s="11" t="s">
        <v>236</v>
      </c>
      <c r="C16" s="12">
        <v>0.2763888888888889</v>
      </c>
      <c r="D16" s="12">
        <v>0.3597222222222222</v>
      </c>
      <c r="E16" s="12">
        <v>0.7763888888888889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239</v>
      </c>
      <c r="B17" s="11" t="s">
        <v>240</v>
      </c>
      <c r="C17" s="12">
        <v>0.28055555555555556</v>
      </c>
      <c r="D17" s="12">
        <v>0.3638888888888889</v>
      </c>
      <c r="E17" s="12">
        <v>0.7805555555555556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237</v>
      </c>
      <c r="B18" s="11" t="s">
        <v>238</v>
      </c>
      <c r="C18" s="12">
        <v>0.2826388888888889</v>
      </c>
      <c r="D18" s="12">
        <v>0.3659722222222222</v>
      </c>
      <c r="E18" s="12">
        <v>0.7826388888888889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233</v>
      </c>
      <c r="B19" s="11" t="s">
        <v>234</v>
      </c>
      <c r="C19" s="47">
        <v>0.28402777777777777</v>
      </c>
      <c r="D19" s="47">
        <v>0.36736111111111114</v>
      </c>
      <c r="E19" s="47">
        <v>0.7840277777777778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226</v>
      </c>
      <c r="B20" s="16" t="s">
        <v>228</v>
      </c>
      <c r="C20" s="12">
        <v>0.2881944444444444</v>
      </c>
      <c r="D20" s="12">
        <v>0.3715277777777778</v>
      </c>
      <c r="E20" s="12">
        <v>0.7881944444444444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6"/>
      <c r="F42" s="16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16"/>
      <c r="B52" s="19"/>
      <c r="C52" s="19"/>
      <c r="D52" s="19"/>
    </row>
    <row r="53">
      <c r="A53" s="16"/>
      <c r="B53" s="19"/>
      <c r="C53" s="19"/>
      <c r="D53" s="19"/>
    </row>
    <row r="54">
      <c r="A54" s="16"/>
      <c r="B54" s="19"/>
      <c r="C54" s="19"/>
      <c r="D54" s="19"/>
    </row>
    <row r="55">
      <c r="A55" s="36"/>
    </row>
    <row r="56">
      <c r="A56" s="1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'DURBN-to-PINET_Weekday'!C1</f>
        <v>Z2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217</v>
      </c>
      <c r="D2" s="39" t="s">
        <v>218</v>
      </c>
      <c r="E2" s="39" t="s">
        <v>223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226</v>
      </c>
      <c r="B3" s="48" t="s">
        <v>228</v>
      </c>
      <c r="C3" s="12">
        <v>0.20972222222222223</v>
      </c>
      <c r="D3" s="12">
        <v>0.29305555555555557</v>
      </c>
      <c r="E3" s="12">
        <v>0.6680555555555555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233</v>
      </c>
      <c r="B4" s="31" t="s">
        <v>234</v>
      </c>
      <c r="C4" s="47">
        <v>0.21319444444444444</v>
      </c>
      <c r="D4" s="47">
        <v>0.2965277777777778</v>
      </c>
      <c r="E4" s="47">
        <v>0.6715277777777777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237</v>
      </c>
      <c r="B5" s="11" t="s">
        <v>238</v>
      </c>
      <c r="C5" s="12">
        <v>0.21597222222222223</v>
      </c>
      <c r="D5" s="12">
        <v>0.29930555555555555</v>
      </c>
      <c r="E5" s="12">
        <v>0.6743055555555556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239</v>
      </c>
      <c r="B6" s="31" t="s">
        <v>240</v>
      </c>
      <c r="C6" s="12">
        <v>0.21805555555555556</v>
      </c>
      <c r="D6" s="12">
        <v>0.3013888888888889</v>
      </c>
      <c r="E6" s="12">
        <v>0.6763888888888889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235</v>
      </c>
      <c r="B7" s="31" t="s">
        <v>236</v>
      </c>
      <c r="C7" s="12">
        <v>0.22083333333333333</v>
      </c>
      <c r="D7" s="12">
        <v>0.30416666666666664</v>
      </c>
      <c r="E7" s="12">
        <v>0.6791666666666667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231</v>
      </c>
      <c r="B8" s="31" t="s">
        <v>232</v>
      </c>
      <c r="C8" s="12">
        <v>0.22569444444444445</v>
      </c>
      <c r="D8" s="12">
        <v>0.3090277777777778</v>
      </c>
      <c r="E8" s="12">
        <v>0.6840277777777778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229</v>
      </c>
      <c r="B9" s="31" t="s">
        <v>230</v>
      </c>
      <c r="C9" s="12">
        <v>0.22916666666666666</v>
      </c>
      <c r="D9" s="12">
        <v>0.3125</v>
      </c>
      <c r="E9" s="12">
        <v>0.6875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225</v>
      </c>
      <c r="B10" s="31" t="s">
        <v>227</v>
      </c>
      <c r="C10" s="47">
        <v>0.23194444444444445</v>
      </c>
      <c r="D10" s="47">
        <v>0.31527777777777777</v>
      </c>
      <c r="E10" s="47">
        <v>0.6902777777777778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220</v>
      </c>
      <c r="B11" s="31" t="s">
        <v>222</v>
      </c>
      <c r="C11" s="12">
        <v>0.23472222222222222</v>
      </c>
      <c r="D11" s="12">
        <v>0.31805555555555554</v>
      </c>
      <c r="E11" s="12">
        <v>0.6930555555555555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215</v>
      </c>
      <c r="B12" s="31" t="s">
        <v>216</v>
      </c>
      <c r="C12" s="12">
        <v>0.2388888888888889</v>
      </c>
      <c r="D12" s="12">
        <v>0.32222222222222224</v>
      </c>
      <c r="E12" s="12">
        <v>0.6972222222222222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213</v>
      </c>
      <c r="B13" s="31" t="s">
        <v>214</v>
      </c>
      <c r="C13" s="12">
        <v>0.2423611111111111</v>
      </c>
      <c r="D13" s="12">
        <v>0.32569444444444445</v>
      </c>
      <c r="E13" s="12">
        <v>0.7006944444444444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69</v>
      </c>
      <c r="B14" s="31" t="s">
        <v>139</v>
      </c>
      <c r="C14" s="12">
        <v>0.2465277777777778</v>
      </c>
      <c r="D14" s="12">
        <v>0.3298611111111111</v>
      </c>
      <c r="E14" s="12">
        <v>0.7048611111111112</v>
      </c>
      <c r="F14" s="12"/>
      <c r="G14" s="12"/>
      <c r="H14" s="12"/>
      <c r="I14" s="12"/>
      <c r="J14" s="12"/>
      <c r="K14" s="12"/>
    </row>
    <row r="15">
      <c r="A15" s="1" t="s">
        <v>67</v>
      </c>
      <c r="B15" s="31" t="s">
        <v>133</v>
      </c>
      <c r="C15" s="12">
        <v>0.2513888888888889</v>
      </c>
      <c r="D15" s="12">
        <v>0.3347222222222222</v>
      </c>
      <c r="E15" s="12">
        <v>0.7097222222222223</v>
      </c>
      <c r="F15" s="12"/>
      <c r="G15" s="12"/>
      <c r="H15" s="12"/>
      <c r="I15" s="12"/>
      <c r="J15" s="12"/>
      <c r="K15" s="12"/>
    </row>
    <row r="16">
      <c r="A16" s="1" t="s">
        <v>65</v>
      </c>
      <c r="B16" s="15" t="s">
        <v>132</v>
      </c>
      <c r="C16" s="12">
        <v>0.2548611111111111</v>
      </c>
      <c r="D16" s="12">
        <v>0.33819444444444446</v>
      </c>
      <c r="E16" s="12">
        <v>0.7131944444444445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63</v>
      </c>
      <c r="B17" s="31" t="s">
        <v>131</v>
      </c>
      <c r="C17" s="12">
        <v>0.2590277777777778</v>
      </c>
      <c r="D17" s="12">
        <v>0.3423611111111111</v>
      </c>
      <c r="E17" s="12">
        <v>0.7173611111111111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61</v>
      </c>
      <c r="B18" s="31" t="s">
        <v>62</v>
      </c>
      <c r="C18" s="12">
        <v>0.2611111111111111</v>
      </c>
      <c r="D18" s="12">
        <v>0.34444444444444444</v>
      </c>
      <c r="E18" s="12">
        <v>0.7194444444444444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59</v>
      </c>
      <c r="B19" s="31" t="s">
        <v>60</v>
      </c>
      <c r="C19" s="12">
        <v>0.26458333333333334</v>
      </c>
      <c r="D19" s="12">
        <v>0.34791666666666665</v>
      </c>
      <c r="E19" s="12">
        <v>0.7229166666666667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" t="s">
        <v>55</v>
      </c>
      <c r="B20" s="16" t="s">
        <v>56</v>
      </c>
      <c r="C20" s="12">
        <v>0.26944444444444443</v>
      </c>
      <c r="D20" s="12">
        <v>0.3527777777777778</v>
      </c>
      <c r="E20" s="12">
        <v>0.7277777777777777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6"/>
      <c r="F31" s="16"/>
      <c r="G31" s="16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32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31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9612.0</v>
      </c>
      <c r="D2" s="21">
        <v>9620.0</v>
      </c>
      <c r="E2" s="21">
        <v>9628.0</v>
      </c>
      <c r="F2" s="21">
        <v>9656.0</v>
      </c>
      <c r="G2" s="21">
        <v>9664.0</v>
      </c>
      <c r="H2" s="21">
        <v>9672.0</v>
      </c>
      <c r="I2" s="21">
        <v>9680.0</v>
      </c>
      <c r="J2" s="21">
        <v>9688.0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59</v>
      </c>
      <c r="B3" s="8" t="s">
        <v>60</v>
      </c>
      <c r="C3" s="9">
        <v>0.1673611111111111</v>
      </c>
      <c r="D3" s="9">
        <v>0.2298611111111111</v>
      </c>
      <c r="E3" s="9">
        <v>0.2923611111111111</v>
      </c>
      <c r="F3" s="9"/>
      <c r="G3" s="49"/>
      <c r="H3" s="12">
        <v>0.6465277777777778</v>
      </c>
      <c r="I3" s="9">
        <v>0.7090277777777778</v>
      </c>
      <c r="J3" s="9">
        <v>0.7715277777777778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61</v>
      </c>
      <c r="B4" s="11" t="s">
        <v>62</v>
      </c>
      <c r="C4" s="12">
        <v>0.1701388888888889</v>
      </c>
      <c r="D4" s="12">
        <f t="shared" ref="D4:E4" si="1">D3+C4-C3</f>
        <v>0.2326388889</v>
      </c>
      <c r="E4" s="12">
        <f t="shared" si="1"/>
        <v>0.2951388889</v>
      </c>
      <c r="F4" s="12"/>
      <c r="G4" s="12"/>
      <c r="H4" s="12">
        <f t="shared" ref="H4:J4" si="2">H3+$C4-$C3</f>
        <v>0.6493055556</v>
      </c>
      <c r="I4" s="12">
        <f t="shared" si="2"/>
        <v>0.7118055556</v>
      </c>
      <c r="J4" s="12">
        <f t="shared" si="2"/>
        <v>0.7743055556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63</v>
      </c>
      <c r="B5" s="11" t="s">
        <v>131</v>
      </c>
      <c r="C5" s="12">
        <v>0.1736111111111111</v>
      </c>
      <c r="D5" s="12">
        <f t="shared" ref="D5:E5" si="3">D4+C5-C4</f>
        <v>0.2361111111</v>
      </c>
      <c r="E5" s="12">
        <f t="shared" si="3"/>
        <v>0.2986111111</v>
      </c>
      <c r="F5" s="12"/>
      <c r="G5" s="12"/>
      <c r="H5" s="12">
        <f t="shared" ref="H5:J5" si="4">H4+$C5-$C4</f>
        <v>0.6527777778</v>
      </c>
      <c r="I5" s="12">
        <f t="shared" si="4"/>
        <v>0.7152777778</v>
      </c>
      <c r="J5" s="12">
        <f t="shared" si="4"/>
        <v>0.7777777778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65</v>
      </c>
      <c r="B6" s="11" t="s">
        <v>132</v>
      </c>
      <c r="C6" s="12">
        <v>0.17708333333333334</v>
      </c>
      <c r="D6" s="12">
        <f t="shared" ref="D6:E6" si="5">D5+C6-C5</f>
        <v>0.2395833333</v>
      </c>
      <c r="E6" s="12">
        <f t="shared" si="5"/>
        <v>0.3020833333</v>
      </c>
      <c r="F6" s="12"/>
      <c r="G6" s="12"/>
      <c r="H6" s="12">
        <f t="shared" ref="H6:J6" si="6">H5+$C6-$C5</f>
        <v>0.65625</v>
      </c>
      <c r="I6" s="12">
        <f t="shared" si="6"/>
        <v>0.71875</v>
      </c>
      <c r="J6" s="12">
        <f t="shared" si="6"/>
        <v>0.78125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133</v>
      </c>
      <c r="C7" s="12">
        <v>0.1798611111111111</v>
      </c>
      <c r="D7" s="12">
        <f t="shared" ref="D7:E7" si="7">D6+C7-C6</f>
        <v>0.2423611111</v>
      </c>
      <c r="E7" s="12">
        <f t="shared" si="7"/>
        <v>0.3048611111</v>
      </c>
      <c r="F7" s="12"/>
      <c r="G7" s="12"/>
      <c r="H7" s="12">
        <f t="shared" ref="H7:J7" si="8">H6+$C7-$C6</f>
        <v>0.6590277778</v>
      </c>
      <c r="I7" s="12">
        <f t="shared" si="8"/>
        <v>0.7215277778</v>
      </c>
      <c r="J7" s="12">
        <f t="shared" si="8"/>
        <v>0.7840277778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139</v>
      </c>
      <c r="C8" s="12">
        <v>0.18472222222222223</v>
      </c>
      <c r="D8" s="12">
        <f t="shared" ref="D8:E8" si="9">D7+C8-C7</f>
        <v>0.2472222222</v>
      </c>
      <c r="E8" s="12">
        <f t="shared" si="9"/>
        <v>0.3097222222</v>
      </c>
      <c r="F8" s="12"/>
      <c r="G8" s="12"/>
      <c r="H8" s="12">
        <f t="shared" ref="H8:J8" si="10">H7+$C8-$C7</f>
        <v>0.6638888889</v>
      </c>
      <c r="I8" s="12">
        <f t="shared" si="10"/>
        <v>0.7263888889</v>
      </c>
      <c r="J8" s="12">
        <f t="shared" si="10"/>
        <v>0.7888888889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75</v>
      </c>
      <c r="B9" s="11" t="s">
        <v>76</v>
      </c>
      <c r="C9" s="12">
        <v>0.19027777777777777</v>
      </c>
      <c r="D9" s="12">
        <f t="shared" ref="D9:E9" si="11">D8+C9-C8</f>
        <v>0.2527777778</v>
      </c>
      <c r="E9" s="12">
        <f t="shared" si="11"/>
        <v>0.3152777778</v>
      </c>
      <c r="F9" s="12"/>
      <c r="G9" s="12"/>
      <c r="H9" s="12">
        <f t="shared" ref="H9:J9" si="12">H8+$C9-$C8</f>
        <v>0.6694444444</v>
      </c>
      <c r="I9" s="12">
        <f t="shared" si="12"/>
        <v>0.7319444444</v>
      </c>
      <c r="J9" s="12">
        <f t="shared" si="12"/>
        <v>0.7944444444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245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248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249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250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253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254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80</v>
      </c>
      <c r="B16" s="11" t="s">
        <v>82</v>
      </c>
      <c r="C16" s="12">
        <v>0.19444444444444445</v>
      </c>
      <c r="D16" s="12">
        <f t="shared" ref="D16:E16" si="13">D9+C16-C9</f>
        <v>0.2569444444</v>
      </c>
      <c r="E16" s="12">
        <f t="shared" si="13"/>
        <v>0.3194444444</v>
      </c>
      <c r="F16" s="12"/>
      <c r="G16" s="12"/>
      <c r="H16" s="12">
        <f t="shared" ref="H16:J16" si="14">H9+$C16-$C9</f>
        <v>0.6736111111</v>
      </c>
      <c r="I16" s="12">
        <f t="shared" si="14"/>
        <v>0.7361111111</v>
      </c>
      <c r="J16" s="12">
        <f t="shared" si="14"/>
        <v>0.7986111111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85</v>
      </c>
      <c r="B17" s="11" t="s">
        <v>86</v>
      </c>
      <c r="C17" s="12">
        <v>0.2</v>
      </c>
      <c r="D17" s="12">
        <f t="shared" ref="D17:E17" si="15">D16+C17-C16</f>
        <v>0.2625</v>
      </c>
      <c r="E17" s="12">
        <f t="shared" si="15"/>
        <v>0.325</v>
      </c>
      <c r="F17" s="12">
        <v>0.3875</v>
      </c>
      <c r="G17" s="12">
        <v>0.6166666666666667</v>
      </c>
      <c r="H17" s="12">
        <f t="shared" ref="H17:J17" si="16">H16+$C17-$C16</f>
        <v>0.6791666667</v>
      </c>
      <c r="I17" s="12">
        <f t="shared" si="16"/>
        <v>0.7416666667</v>
      </c>
      <c r="J17" s="12">
        <f t="shared" si="16"/>
        <v>0.8041666667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255</v>
      </c>
      <c r="B18" s="11" t="s">
        <v>256</v>
      </c>
      <c r="C18" s="12">
        <v>0.20555555555555555</v>
      </c>
      <c r="D18" s="12">
        <f t="shared" ref="D18:E18" si="17">D17+C18-C17</f>
        <v>0.2680555556</v>
      </c>
      <c r="E18" s="12">
        <f t="shared" si="17"/>
        <v>0.3305555556</v>
      </c>
      <c r="F18" s="12">
        <f t="shared" ref="F18:J18" si="18">F17+$C18-$C17</f>
        <v>0.3930555556</v>
      </c>
      <c r="G18" s="12">
        <f t="shared" si="18"/>
        <v>0.6222222222</v>
      </c>
      <c r="H18" s="12">
        <f t="shared" si="18"/>
        <v>0.6847222222</v>
      </c>
      <c r="I18" s="12">
        <f t="shared" si="18"/>
        <v>0.7472222222</v>
      </c>
      <c r="J18" s="12">
        <f t="shared" si="18"/>
        <v>0.8097222222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251</v>
      </c>
      <c r="B19" s="11" t="s">
        <v>252</v>
      </c>
      <c r="C19" s="12">
        <v>0.21041666666666667</v>
      </c>
      <c r="D19" s="12">
        <f t="shared" ref="D19:E19" si="19">D18+C19-C18</f>
        <v>0.2729166667</v>
      </c>
      <c r="E19" s="12">
        <f t="shared" si="19"/>
        <v>0.3354166667</v>
      </c>
      <c r="F19" s="12">
        <f t="shared" ref="F19:J19" si="20">F18+$C19-$C18</f>
        <v>0.3979166667</v>
      </c>
      <c r="G19" s="12">
        <f t="shared" si="20"/>
        <v>0.6270833333</v>
      </c>
      <c r="H19" s="12">
        <f t="shared" si="20"/>
        <v>0.6895833333</v>
      </c>
      <c r="I19" s="12">
        <f t="shared" si="20"/>
        <v>0.7520833333</v>
      </c>
      <c r="J19" s="12">
        <f t="shared" si="20"/>
        <v>0.8145833333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246</v>
      </c>
      <c r="B20" s="16" t="s">
        <v>247</v>
      </c>
      <c r="C20" s="12">
        <v>0.21388888888888888</v>
      </c>
      <c r="D20" s="12">
        <f t="shared" ref="D20:E20" si="21">D19+C20-C19</f>
        <v>0.2763888889</v>
      </c>
      <c r="E20" s="12">
        <f t="shared" si="21"/>
        <v>0.3388888889</v>
      </c>
      <c r="F20" s="12">
        <f t="shared" ref="F20:J20" si="22">F19+$C20-$C19</f>
        <v>0.4013888889</v>
      </c>
      <c r="G20" s="12">
        <f t="shared" si="22"/>
        <v>0.6305555556</v>
      </c>
      <c r="H20" s="12">
        <f t="shared" si="22"/>
        <v>0.6930555556</v>
      </c>
      <c r="I20" s="12">
        <f t="shared" si="22"/>
        <v>0.7555555556</v>
      </c>
      <c r="J20" s="12">
        <f t="shared" si="22"/>
        <v>0.8180555556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243</v>
      </c>
      <c r="B21" s="16" t="s">
        <v>244</v>
      </c>
      <c r="C21" s="12">
        <v>0.21666666666666667</v>
      </c>
      <c r="D21" s="12">
        <f t="shared" ref="D21:E21" si="23">D20+C21-C20</f>
        <v>0.2791666667</v>
      </c>
      <c r="E21" s="12">
        <f t="shared" si="23"/>
        <v>0.3416666667</v>
      </c>
      <c r="F21" s="12">
        <f t="shared" ref="F21:J21" si="24">F20+$C21-$C20</f>
        <v>0.4041666667</v>
      </c>
      <c r="G21" s="12">
        <f t="shared" si="24"/>
        <v>0.6333333333</v>
      </c>
      <c r="H21" s="12">
        <f t="shared" si="24"/>
        <v>0.6958333333</v>
      </c>
      <c r="I21" s="12">
        <f t="shared" si="24"/>
        <v>0.7583333333</v>
      </c>
      <c r="J21" s="12">
        <f t="shared" si="24"/>
        <v>0.8208333333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241</v>
      </c>
      <c r="B22" s="16" t="s">
        <v>242</v>
      </c>
      <c r="C22" s="12">
        <v>0.22083333333333333</v>
      </c>
      <c r="D22" s="12">
        <f t="shared" ref="D22:E22" si="25">D21+C22-C21</f>
        <v>0.2833333333</v>
      </c>
      <c r="E22" s="12">
        <f t="shared" si="25"/>
        <v>0.3458333333</v>
      </c>
      <c r="F22" s="12">
        <f t="shared" ref="F22:J22" si="26">F21+$C22-$C21</f>
        <v>0.4083333333</v>
      </c>
      <c r="G22" s="12">
        <f t="shared" si="26"/>
        <v>0.6375</v>
      </c>
      <c r="H22" s="12">
        <f t="shared" si="26"/>
        <v>0.7</v>
      </c>
      <c r="I22" s="12">
        <f t="shared" si="26"/>
        <v>0.7625</v>
      </c>
      <c r="J22" s="12">
        <f t="shared" si="26"/>
        <v>0.825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'DURBN-to-CROSS_Weekday'!B1</f>
        <v>46230</v>
      </c>
      <c r="C1" s="1" t="s">
        <v>1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9613.0</v>
      </c>
      <c r="D2" s="21">
        <v>9621.0</v>
      </c>
      <c r="E2" s="21">
        <v>9629.0</v>
      </c>
      <c r="F2" s="21">
        <v>9637.0</v>
      </c>
      <c r="G2" s="21">
        <v>9665.0</v>
      </c>
      <c r="H2" s="21">
        <v>9673.0</v>
      </c>
      <c r="I2" s="21">
        <v>9681.0</v>
      </c>
      <c r="J2" s="21">
        <v>9689.0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241</v>
      </c>
      <c r="B3" s="50" t="s">
        <v>242</v>
      </c>
      <c r="C3" s="12">
        <v>0.16319444444444445</v>
      </c>
      <c r="D3" s="9">
        <v>0.22569444444444445</v>
      </c>
      <c r="E3" s="9">
        <v>0.2881944444444444</v>
      </c>
      <c r="F3" s="9">
        <v>0.3506944444444444</v>
      </c>
      <c r="G3" s="9">
        <v>0.5798611111111112</v>
      </c>
      <c r="H3" s="9">
        <v>0.6423611111111112</v>
      </c>
      <c r="I3" s="9">
        <v>0.7048611111111112</v>
      </c>
      <c r="J3" s="9">
        <v>0.7673611111111112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51" t="s">
        <v>243</v>
      </c>
      <c r="B4" s="15" t="s">
        <v>244</v>
      </c>
      <c r="C4" s="12">
        <v>0.16666666666666666</v>
      </c>
      <c r="D4" s="12">
        <f t="shared" ref="D4:J4" si="1">D3+$C4-$C3</f>
        <v>0.2291666667</v>
      </c>
      <c r="E4" s="12">
        <f t="shared" si="1"/>
        <v>0.2916666667</v>
      </c>
      <c r="F4" s="12">
        <f t="shared" si="1"/>
        <v>0.3541666667</v>
      </c>
      <c r="G4" s="12">
        <f t="shared" si="1"/>
        <v>0.5833333333</v>
      </c>
      <c r="H4" s="12">
        <f t="shared" si="1"/>
        <v>0.6458333333</v>
      </c>
      <c r="I4" s="12">
        <f t="shared" si="1"/>
        <v>0.7083333333</v>
      </c>
      <c r="J4" s="12">
        <f t="shared" si="1"/>
        <v>0.7708333333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51" t="s">
        <v>246</v>
      </c>
      <c r="B5" s="15" t="s">
        <v>247</v>
      </c>
      <c r="C5" s="12">
        <v>0.1701388888888889</v>
      </c>
      <c r="D5" s="12">
        <f t="shared" ref="D5:J5" si="2">D4+$C5-$C4</f>
        <v>0.2326388889</v>
      </c>
      <c r="E5" s="12">
        <f t="shared" si="2"/>
        <v>0.2951388889</v>
      </c>
      <c r="F5" s="12">
        <f t="shared" si="2"/>
        <v>0.3576388889</v>
      </c>
      <c r="G5" s="12">
        <f t="shared" si="2"/>
        <v>0.5868055556</v>
      </c>
      <c r="H5" s="12">
        <f t="shared" si="2"/>
        <v>0.6493055556</v>
      </c>
      <c r="I5" s="12">
        <f t="shared" si="2"/>
        <v>0.7118055556</v>
      </c>
      <c r="J5" s="12">
        <f t="shared" si="2"/>
        <v>0.7743055556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51" t="s">
        <v>251</v>
      </c>
      <c r="B6" s="15" t="s">
        <v>252</v>
      </c>
      <c r="C6" s="12">
        <v>0.17291666666666666</v>
      </c>
      <c r="D6" s="12">
        <f t="shared" ref="D6:J6" si="3">D5+$C6-$C5</f>
        <v>0.2354166667</v>
      </c>
      <c r="E6" s="12">
        <f t="shared" si="3"/>
        <v>0.2979166667</v>
      </c>
      <c r="F6" s="12">
        <f t="shared" si="3"/>
        <v>0.3604166667</v>
      </c>
      <c r="G6" s="12">
        <f t="shared" si="3"/>
        <v>0.5895833333</v>
      </c>
      <c r="H6" s="12">
        <f t="shared" si="3"/>
        <v>0.6520833333</v>
      </c>
      <c r="I6" s="12">
        <f t="shared" si="3"/>
        <v>0.7145833333</v>
      </c>
      <c r="J6" s="12">
        <f t="shared" si="3"/>
        <v>0.7770833333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51" t="s">
        <v>255</v>
      </c>
      <c r="B7" s="15" t="s">
        <v>256</v>
      </c>
      <c r="C7" s="12">
        <v>0.17847222222222223</v>
      </c>
      <c r="D7" s="12">
        <f t="shared" ref="D7:J7" si="4">D6+$C7-$C6</f>
        <v>0.2409722222</v>
      </c>
      <c r="E7" s="12">
        <f t="shared" si="4"/>
        <v>0.3034722222</v>
      </c>
      <c r="F7" s="12">
        <f t="shared" si="4"/>
        <v>0.3659722222</v>
      </c>
      <c r="G7" s="12">
        <f t="shared" si="4"/>
        <v>0.5951388889</v>
      </c>
      <c r="H7" s="12">
        <f t="shared" si="4"/>
        <v>0.6576388889</v>
      </c>
      <c r="I7" s="12">
        <f t="shared" si="4"/>
        <v>0.7201388889</v>
      </c>
      <c r="J7" s="12">
        <f t="shared" si="4"/>
        <v>0.7826388889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51" t="s">
        <v>85</v>
      </c>
      <c r="B8" s="31" t="s">
        <v>86</v>
      </c>
      <c r="C8" s="12">
        <v>0.18611111111111112</v>
      </c>
      <c r="D8" s="12">
        <f t="shared" ref="D8:J8" si="5">D7+$C8-$C7</f>
        <v>0.2486111111</v>
      </c>
      <c r="E8" s="12">
        <f t="shared" si="5"/>
        <v>0.3111111111</v>
      </c>
      <c r="F8" s="12">
        <f t="shared" si="5"/>
        <v>0.3736111111</v>
      </c>
      <c r="G8" s="12">
        <f t="shared" si="5"/>
        <v>0.6027777778</v>
      </c>
      <c r="H8" s="12">
        <f t="shared" si="5"/>
        <v>0.6652777778</v>
      </c>
      <c r="I8" s="12">
        <f t="shared" si="5"/>
        <v>0.7277777778</v>
      </c>
      <c r="J8" s="12">
        <f t="shared" si="5"/>
        <v>0.7902777778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80</v>
      </c>
      <c r="B9" s="31" t="s">
        <v>82</v>
      </c>
      <c r="C9" s="12">
        <v>0.18958333333333333</v>
      </c>
      <c r="D9" s="12">
        <f t="shared" ref="D9:E9" si="6">D8+$C9-$C8</f>
        <v>0.2520833333</v>
      </c>
      <c r="E9" s="12">
        <f t="shared" si="6"/>
        <v>0.3145833333</v>
      </c>
      <c r="F9" s="12"/>
      <c r="G9" s="12"/>
      <c r="H9" s="12">
        <f t="shared" ref="H9:J9" si="7">H8+$C9-$C8</f>
        <v>0.66875</v>
      </c>
      <c r="I9" s="12">
        <f t="shared" si="7"/>
        <v>0.73125</v>
      </c>
      <c r="J9" s="12">
        <f t="shared" si="7"/>
        <v>0.79375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254</v>
      </c>
      <c r="B10" s="3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253</v>
      </c>
      <c r="B11" s="3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53" t="s">
        <v>250</v>
      </c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249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248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51" t="s">
        <v>245</v>
      </c>
      <c r="B15" s="31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75</v>
      </c>
      <c r="B16" s="11" t="s">
        <v>76</v>
      </c>
      <c r="C16" s="12">
        <v>0.19444444444444445</v>
      </c>
      <c r="D16" s="12">
        <f t="shared" ref="D16:E16" si="8">D9+$C16-$C9</f>
        <v>0.2569444444</v>
      </c>
      <c r="E16" s="12">
        <f t="shared" si="8"/>
        <v>0.3194444444</v>
      </c>
      <c r="F16" s="12"/>
      <c r="G16" s="12"/>
      <c r="H16" s="12">
        <f t="shared" ref="H16:J16" si="9">H9+$C16-$C9</f>
        <v>0.6736111111</v>
      </c>
      <c r="I16" s="12">
        <f t="shared" si="9"/>
        <v>0.7361111111</v>
      </c>
      <c r="J16" s="12">
        <f t="shared" si="9"/>
        <v>0.7986111111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69</v>
      </c>
      <c r="B17" s="11" t="s">
        <v>139</v>
      </c>
      <c r="C17" s="12">
        <v>0.1986111111111111</v>
      </c>
      <c r="D17" s="12">
        <f t="shared" ref="D17:E17" si="10">D16+$C17-$C16</f>
        <v>0.2611111111</v>
      </c>
      <c r="E17" s="12">
        <f t="shared" si="10"/>
        <v>0.3236111111</v>
      </c>
      <c r="F17" s="12"/>
      <c r="G17" s="12"/>
      <c r="H17" s="12">
        <f t="shared" ref="H17:J17" si="11">H16+$C17-$C16</f>
        <v>0.6777777778</v>
      </c>
      <c r="I17" s="12">
        <f t="shared" si="11"/>
        <v>0.7402777778</v>
      </c>
      <c r="J17" s="12">
        <f t="shared" si="11"/>
        <v>0.8027777778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67</v>
      </c>
      <c r="B18" s="11" t="s">
        <v>133</v>
      </c>
      <c r="C18" s="12">
        <v>0.20347222222222222</v>
      </c>
      <c r="D18" s="12">
        <f t="shared" ref="D18:E18" si="12">D17+$C18-$C17</f>
        <v>0.2659722222</v>
      </c>
      <c r="E18" s="12">
        <f t="shared" si="12"/>
        <v>0.3284722222</v>
      </c>
      <c r="F18" s="12"/>
      <c r="G18" s="12"/>
      <c r="H18" s="12">
        <f t="shared" ref="H18:J18" si="13">H17+$C18-$C17</f>
        <v>0.6826388889</v>
      </c>
      <c r="I18" s="12">
        <f t="shared" si="13"/>
        <v>0.7451388889</v>
      </c>
      <c r="J18" s="12">
        <f t="shared" si="13"/>
        <v>0.8076388889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1" t="s">
        <v>65</v>
      </c>
      <c r="B19" s="31" t="s">
        <v>132</v>
      </c>
      <c r="C19" s="12">
        <v>0.20694444444444443</v>
      </c>
      <c r="D19" s="12">
        <f t="shared" ref="D19:E19" si="14">D18+$C19-$C18</f>
        <v>0.2694444444</v>
      </c>
      <c r="E19" s="12">
        <f t="shared" si="14"/>
        <v>0.3319444444</v>
      </c>
      <c r="F19" s="12"/>
      <c r="G19" s="12"/>
      <c r="H19" s="12">
        <f t="shared" ref="H19:J19" si="15">H18+$C19-$C18</f>
        <v>0.6861111111</v>
      </c>
      <c r="I19" s="12">
        <f t="shared" si="15"/>
        <v>0.7486111111</v>
      </c>
      <c r="J19" s="12">
        <f t="shared" si="15"/>
        <v>0.8111111111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63</v>
      </c>
      <c r="B20" s="16" t="s">
        <v>131</v>
      </c>
      <c r="C20" s="12">
        <v>0.2111111111111111</v>
      </c>
      <c r="D20" s="12">
        <f t="shared" ref="D20:E20" si="16">D19+$C20-$C19</f>
        <v>0.2736111111</v>
      </c>
      <c r="E20" s="12">
        <f t="shared" si="16"/>
        <v>0.3361111111</v>
      </c>
      <c r="F20" s="12"/>
      <c r="G20" s="12"/>
      <c r="H20" s="12">
        <f t="shared" ref="H20:J20" si="17">H19+$C20-$C19</f>
        <v>0.6902777778</v>
      </c>
      <c r="I20" s="12">
        <f t="shared" si="17"/>
        <v>0.7527777778</v>
      </c>
      <c r="J20" s="12">
        <f t="shared" si="17"/>
        <v>0.8152777778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55" t="s">
        <v>61</v>
      </c>
      <c r="B21" s="19" t="s">
        <v>62</v>
      </c>
      <c r="C21" s="12">
        <v>0.21319444444444444</v>
      </c>
      <c r="D21" s="12">
        <f t="shared" ref="D21:E21" si="18">D20+$C21-$C20</f>
        <v>0.2756944444</v>
      </c>
      <c r="E21" s="12">
        <f t="shared" si="18"/>
        <v>0.3381944444</v>
      </c>
      <c r="F21" s="12"/>
      <c r="G21" s="12"/>
      <c r="H21" s="12">
        <f t="shared" ref="H21:J21" si="19">H20+$C21-$C20</f>
        <v>0.6923611111</v>
      </c>
      <c r="I21" s="12">
        <f t="shared" si="19"/>
        <v>0.7548611111</v>
      </c>
      <c r="J21" s="12">
        <f t="shared" si="19"/>
        <v>0.8173611111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56" t="s">
        <v>59</v>
      </c>
      <c r="B22" s="36" t="s">
        <v>60</v>
      </c>
      <c r="C22" s="12">
        <v>0.21666666666666667</v>
      </c>
      <c r="D22" s="12">
        <f t="shared" ref="D22:E22" si="20">D21+$C22-$C21</f>
        <v>0.2791666667</v>
      </c>
      <c r="E22" s="12">
        <f t="shared" si="20"/>
        <v>0.3416666667</v>
      </c>
      <c r="F22" s="12"/>
      <c r="G22" s="12"/>
      <c r="H22" s="12">
        <f t="shared" ref="H22:J22" si="21">H21+$C22-$C21</f>
        <v>0.6958333333</v>
      </c>
      <c r="I22" s="12">
        <f t="shared" si="21"/>
        <v>0.7583333333</v>
      </c>
      <c r="J22" s="12">
        <f t="shared" si="21"/>
        <v>0.8208333333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31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9612.0</v>
      </c>
      <c r="D2" s="21">
        <v>9620.0</v>
      </c>
      <c r="E2" s="21">
        <v>9672.0</v>
      </c>
      <c r="F2" s="21">
        <v>9680.0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59</v>
      </c>
      <c r="B3" s="8" t="s">
        <v>60</v>
      </c>
      <c r="C3" s="12">
        <v>0.1673611111111111</v>
      </c>
      <c r="D3" s="12">
        <v>0.2298611111111111</v>
      </c>
      <c r="E3" s="12">
        <v>0.6465277777777778</v>
      </c>
      <c r="F3" s="12">
        <v>0.7090277777777778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61</v>
      </c>
      <c r="B4" s="11" t="s">
        <v>62</v>
      </c>
      <c r="C4" s="12">
        <v>0.1701388888888889</v>
      </c>
      <c r="D4" s="12">
        <v>0.2326388888888889</v>
      </c>
      <c r="E4" s="12">
        <v>0.6493055555555556</v>
      </c>
      <c r="F4" s="12">
        <v>0.7118055555555556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63</v>
      </c>
      <c r="B5" s="11" t="s">
        <v>131</v>
      </c>
      <c r="C5" s="12">
        <v>0.1736111111111111</v>
      </c>
      <c r="D5" s="12">
        <v>0.2361111111111111</v>
      </c>
      <c r="E5" s="12">
        <v>0.6527777777777778</v>
      </c>
      <c r="F5" s="12">
        <v>0.7152777777777778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65</v>
      </c>
      <c r="B6" s="11" t="s">
        <v>132</v>
      </c>
      <c r="C6" s="12">
        <v>0.17708333333333334</v>
      </c>
      <c r="D6" s="12">
        <v>0.23958333333333334</v>
      </c>
      <c r="E6" s="12">
        <v>0.65625</v>
      </c>
      <c r="F6" s="12">
        <v>0.71875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133</v>
      </c>
      <c r="C7" s="12">
        <v>0.1798611111111111</v>
      </c>
      <c r="D7" s="12">
        <v>0.2423611111111111</v>
      </c>
      <c r="E7" s="12">
        <v>0.6590277777777778</v>
      </c>
      <c r="F7" s="12">
        <v>0.7215277777777778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139</v>
      </c>
      <c r="C8" s="12">
        <v>0.18472222222222223</v>
      </c>
      <c r="D8" s="12">
        <v>0.24722222222222223</v>
      </c>
      <c r="E8" s="12">
        <v>0.6638888888888889</v>
      </c>
      <c r="F8" s="12">
        <v>0.7263888888888889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75</v>
      </c>
      <c r="B9" s="11" t="s">
        <v>76</v>
      </c>
      <c r="C9" s="12">
        <v>0.19027777777777777</v>
      </c>
      <c r="D9" s="12">
        <v>0.25277777777777777</v>
      </c>
      <c r="E9" s="12">
        <v>0.6694444444444444</v>
      </c>
      <c r="F9" s="12">
        <v>0.7319444444444444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52" t="s">
        <v>245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248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249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250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253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54" t="s">
        <v>254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80</v>
      </c>
      <c r="B16" s="11" t="s">
        <v>82</v>
      </c>
      <c r="C16" s="12">
        <v>0.19444444444444445</v>
      </c>
      <c r="D16" s="12">
        <v>0.2569444444444444</v>
      </c>
      <c r="E16" s="12">
        <v>0.6736111111111112</v>
      </c>
      <c r="F16" s="12">
        <v>0.7361111111111112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85</v>
      </c>
      <c r="B17" s="11" t="s">
        <v>86</v>
      </c>
      <c r="C17" s="12">
        <v>0.2</v>
      </c>
      <c r="D17" s="12">
        <v>0.2625</v>
      </c>
      <c r="E17" s="12">
        <v>0.6791666666666667</v>
      </c>
      <c r="F17" s="12">
        <v>0.7416666666666667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255</v>
      </c>
      <c r="B18" s="11" t="s">
        <v>256</v>
      </c>
      <c r="C18" s="12">
        <v>0.20555555555555555</v>
      </c>
      <c r="D18" s="12">
        <v>0.26805555555555555</v>
      </c>
      <c r="E18" s="12">
        <v>0.6847222222222222</v>
      </c>
      <c r="F18" s="12">
        <v>0.7472222222222222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251</v>
      </c>
      <c r="B19" s="11" t="s">
        <v>252</v>
      </c>
      <c r="C19" s="12">
        <v>0.21041666666666667</v>
      </c>
      <c r="D19" s="12">
        <v>0.27291666666666664</v>
      </c>
      <c r="E19" s="12">
        <v>0.6895833333333333</v>
      </c>
      <c r="F19" s="12">
        <v>0.7520833333333333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246</v>
      </c>
      <c r="B20" s="16" t="s">
        <v>247</v>
      </c>
      <c r="C20" s="12">
        <v>0.21388888888888888</v>
      </c>
      <c r="D20" s="12">
        <v>0.2763888888888889</v>
      </c>
      <c r="E20" s="12">
        <v>0.6930555555555555</v>
      </c>
      <c r="F20" s="12">
        <v>0.7555555555555555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243</v>
      </c>
      <c r="B21" s="16" t="s">
        <v>244</v>
      </c>
      <c r="C21" s="12">
        <v>0.21666666666666667</v>
      </c>
      <c r="D21" s="12">
        <v>0.2791666666666667</v>
      </c>
      <c r="E21" s="12">
        <v>0.6958333333333333</v>
      </c>
      <c r="F21" s="12">
        <v>0.7583333333333333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241</v>
      </c>
      <c r="B22" s="16" t="s">
        <v>242</v>
      </c>
      <c r="C22" s="12">
        <v>0.22083333333333333</v>
      </c>
      <c r="D22" s="12">
        <v>0.2833333333333333</v>
      </c>
      <c r="E22" s="12">
        <v>0.7</v>
      </c>
      <c r="F22" s="12">
        <v>0.7625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43"/>
      <c r="C32" s="43"/>
      <c r="D32" s="57"/>
      <c r="E32" s="58"/>
      <c r="F32" s="58"/>
      <c r="G32" s="58"/>
      <c r="H32" s="16"/>
      <c r="I32" s="16"/>
      <c r="J32" s="16"/>
    </row>
    <row r="33">
      <c r="A33" s="16"/>
      <c r="B33" s="43"/>
      <c r="C33" s="43"/>
      <c r="D33" s="57"/>
      <c r="E33" s="57"/>
      <c r="F33" s="57"/>
      <c r="G33" s="57"/>
      <c r="H33" s="19"/>
      <c r="I33" s="19"/>
      <c r="J33" s="19"/>
    </row>
    <row r="34">
      <c r="A34" s="16"/>
      <c r="B34" s="43"/>
      <c r="C34" s="43"/>
      <c r="D34" s="57"/>
      <c r="E34" s="57"/>
      <c r="F34" s="57"/>
      <c r="G34" s="57"/>
      <c r="H34" s="19"/>
      <c r="I34" s="19"/>
      <c r="J34" s="19"/>
    </row>
    <row r="35">
      <c r="A35" s="16"/>
      <c r="B35" s="43"/>
      <c r="C35" s="43"/>
      <c r="D35" s="57"/>
      <c r="E35" s="57"/>
      <c r="F35" s="57"/>
      <c r="G35" s="57"/>
      <c r="H35" s="19"/>
      <c r="I35" s="19"/>
      <c r="J35" s="19"/>
    </row>
    <row r="36">
      <c r="A36" s="16"/>
      <c r="B36" s="43"/>
      <c r="C36" s="43"/>
      <c r="D36" s="58"/>
      <c r="E36" s="58"/>
      <c r="F36" s="58"/>
      <c r="G36" s="58"/>
      <c r="H36" s="16"/>
      <c r="I36" s="16"/>
      <c r="J36" s="16"/>
    </row>
    <row r="37">
      <c r="A37" s="16"/>
      <c r="B37" s="43"/>
      <c r="C37" s="43"/>
      <c r="D37" s="58"/>
      <c r="E37" s="58"/>
      <c r="F37" s="58"/>
      <c r="G37" s="58"/>
      <c r="H37" s="16"/>
      <c r="I37" s="16"/>
      <c r="J37" s="16"/>
    </row>
    <row r="38">
      <c r="A38" s="16"/>
      <c r="B38" s="16"/>
      <c r="C38" s="16"/>
      <c r="D38" s="19"/>
      <c r="E38" s="19"/>
      <c r="F38" s="19"/>
      <c r="G38" s="19"/>
      <c r="H38" s="16"/>
      <c r="I38" s="16"/>
      <c r="J38" s="16"/>
    </row>
    <row r="39">
      <c r="A39" s="16"/>
      <c r="B39" s="16"/>
      <c r="C39" s="16"/>
      <c r="D39" s="19"/>
      <c r="E39" s="19"/>
      <c r="F39" s="19"/>
      <c r="G39" s="19"/>
      <c r="H39" s="19"/>
      <c r="I39" s="19"/>
      <c r="J39" s="19"/>
    </row>
    <row r="40">
      <c r="A40" s="16"/>
      <c r="B40" s="16"/>
      <c r="C40" s="16"/>
      <c r="D40" s="19"/>
      <c r="E40" s="19"/>
      <c r="F40" s="19"/>
      <c r="G40" s="19"/>
      <c r="H40" s="19"/>
      <c r="I40" s="19"/>
      <c r="J40" s="19"/>
    </row>
    <row r="41">
      <c r="A41" s="16"/>
      <c r="B41" s="16"/>
      <c r="C41" s="16"/>
      <c r="D41" s="19"/>
      <c r="E41" s="19"/>
      <c r="F41" s="19"/>
      <c r="G41" s="19"/>
      <c r="H41" s="16"/>
      <c r="I41" s="16"/>
      <c r="J41" s="16"/>
    </row>
    <row r="42">
      <c r="A42" s="16"/>
      <c r="B42" s="16"/>
      <c r="C42" s="16"/>
      <c r="D42" s="19"/>
      <c r="E42" s="19"/>
      <c r="F42" s="19"/>
      <c r="G42" s="19"/>
      <c r="H42" s="16"/>
      <c r="I42" s="16"/>
      <c r="J42" s="16"/>
    </row>
    <row r="43">
      <c r="A43" s="16"/>
      <c r="B43" s="16"/>
      <c r="C43" s="16"/>
      <c r="D43" s="19"/>
      <c r="E43" s="19"/>
      <c r="F43" s="19"/>
      <c r="G43" s="19"/>
      <c r="H43" s="19"/>
      <c r="I43" s="19"/>
      <c r="J43" s="19"/>
    </row>
    <row r="44">
      <c r="A44" s="16"/>
      <c r="B44" s="16"/>
      <c r="C44" s="16"/>
      <c r="D44" s="19"/>
      <c r="E44" s="19"/>
      <c r="F44" s="19"/>
      <c r="G44" s="19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'DURBN-to-CROSS_Sat'!B1</f>
        <v>46230</v>
      </c>
      <c r="C1" s="1" t="s">
        <v>1</v>
      </c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9613.0</v>
      </c>
      <c r="D2" s="21">
        <v>9621.0</v>
      </c>
      <c r="E2" s="21">
        <v>9673.0</v>
      </c>
      <c r="F2" s="21">
        <v>9681.0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241</v>
      </c>
      <c r="B3" s="50" t="s">
        <v>242</v>
      </c>
      <c r="C3" s="12">
        <v>0.16319444444444445</v>
      </c>
      <c r="D3" s="12">
        <v>0.22569444444444445</v>
      </c>
      <c r="E3" s="12">
        <v>0.6423611111111112</v>
      </c>
      <c r="F3" s="12">
        <v>0.7048611111111112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51" t="s">
        <v>243</v>
      </c>
      <c r="B4" s="15" t="s">
        <v>244</v>
      </c>
      <c r="C4" s="12">
        <v>0.16666666666666666</v>
      </c>
      <c r="D4" s="12">
        <v>0.22916666666666666</v>
      </c>
      <c r="E4" s="12">
        <v>0.6458333333333334</v>
      </c>
      <c r="F4" s="12">
        <v>0.7083333333333334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51" t="s">
        <v>246</v>
      </c>
      <c r="B5" s="15" t="s">
        <v>247</v>
      </c>
      <c r="C5" s="12">
        <v>0.1701388888888889</v>
      </c>
      <c r="D5" s="12">
        <v>0.2326388888888889</v>
      </c>
      <c r="E5" s="12">
        <v>0.6493055555555556</v>
      </c>
      <c r="F5" s="12">
        <v>0.7118055555555556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51" t="s">
        <v>251</v>
      </c>
      <c r="B6" s="15" t="s">
        <v>252</v>
      </c>
      <c r="C6" s="12">
        <v>0.17291666666666666</v>
      </c>
      <c r="D6" s="12">
        <v>0.23541666666666666</v>
      </c>
      <c r="E6" s="12">
        <v>0.6520833333333333</v>
      </c>
      <c r="F6" s="12">
        <v>0.7145833333333333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51" t="s">
        <v>255</v>
      </c>
      <c r="B7" s="15" t="s">
        <v>256</v>
      </c>
      <c r="C7" s="12">
        <v>0.17847222222222223</v>
      </c>
      <c r="D7" s="12">
        <v>0.24097222222222223</v>
      </c>
      <c r="E7" s="12">
        <v>0.6576388888888889</v>
      </c>
      <c r="F7" s="12">
        <v>0.7201388888888889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51" t="s">
        <v>85</v>
      </c>
      <c r="B8" s="31" t="s">
        <v>86</v>
      </c>
      <c r="C8" s="12">
        <v>0.18611111111111112</v>
      </c>
      <c r="D8" s="12">
        <v>0.24861111111111112</v>
      </c>
      <c r="E8" s="12">
        <v>0.6652777777777777</v>
      </c>
      <c r="F8" s="12">
        <v>0.7277777777777777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80</v>
      </c>
      <c r="B9" s="31" t="s">
        <v>82</v>
      </c>
      <c r="C9" s="12">
        <v>0.18958333333333333</v>
      </c>
      <c r="D9" s="12">
        <v>0.2520833333333333</v>
      </c>
      <c r="E9" s="12">
        <v>0.66875</v>
      </c>
      <c r="F9" s="12">
        <v>0.73125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254</v>
      </c>
      <c r="B10" s="3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253</v>
      </c>
      <c r="B11" s="3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53" t="s">
        <v>250</v>
      </c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249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248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51" t="s">
        <v>245</v>
      </c>
      <c r="B15" s="31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75</v>
      </c>
      <c r="B16" s="11" t="s">
        <v>76</v>
      </c>
      <c r="C16" s="12">
        <v>0.19444444444444445</v>
      </c>
      <c r="D16" s="12">
        <v>0.2569444444444444</v>
      </c>
      <c r="E16" s="12">
        <v>0.6736111111111112</v>
      </c>
      <c r="F16" s="12">
        <v>0.7361111111111112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69</v>
      </c>
      <c r="B17" s="11" t="s">
        <v>139</v>
      </c>
      <c r="C17" s="12">
        <v>0.1986111111111111</v>
      </c>
      <c r="D17" s="12">
        <v>0.2611111111111111</v>
      </c>
      <c r="E17" s="12">
        <v>0.6777777777777778</v>
      </c>
      <c r="F17" s="12">
        <v>0.7402777777777778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67</v>
      </c>
      <c r="B18" s="11" t="s">
        <v>133</v>
      </c>
      <c r="C18" s="12">
        <v>0.20347222222222222</v>
      </c>
      <c r="D18" s="12">
        <v>0.2659722222222222</v>
      </c>
      <c r="E18" s="12">
        <v>0.6826388888888889</v>
      </c>
      <c r="F18" s="12">
        <v>0.7451388888888889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1" t="s">
        <v>65</v>
      </c>
      <c r="B19" s="31" t="s">
        <v>132</v>
      </c>
      <c r="C19" s="12">
        <v>0.20694444444444443</v>
      </c>
      <c r="D19" s="12">
        <v>0.26944444444444443</v>
      </c>
      <c r="E19" s="12">
        <v>0.6861111111111111</v>
      </c>
      <c r="F19" s="12">
        <v>0.7486111111111111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63</v>
      </c>
      <c r="B20" s="16" t="s">
        <v>131</v>
      </c>
      <c r="C20" s="12">
        <v>0.2111111111111111</v>
      </c>
      <c r="D20" s="12">
        <v>0.27361111111111114</v>
      </c>
      <c r="E20" s="12">
        <v>0.6902777777777778</v>
      </c>
      <c r="F20" s="12">
        <v>0.7527777777777778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55" t="s">
        <v>61</v>
      </c>
      <c r="B21" s="19" t="s">
        <v>62</v>
      </c>
      <c r="C21" s="12">
        <v>0.21319444444444444</v>
      </c>
      <c r="D21" s="12">
        <v>0.27569444444444446</v>
      </c>
      <c r="E21" s="12">
        <v>0.6923611111111111</v>
      </c>
      <c r="F21" s="12">
        <v>0.7548611111111111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56" t="s">
        <v>59</v>
      </c>
      <c r="B22" s="36" t="s">
        <v>60</v>
      </c>
      <c r="C22" s="12">
        <v>0.21666666666666667</v>
      </c>
      <c r="D22" s="12">
        <v>0.2791666666666667</v>
      </c>
      <c r="E22" s="12">
        <v>0.6958333333333333</v>
      </c>
      <c r="F22" s="12">
        <v>0.7583333333333333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6"/>
      <c r="C32" s="16"/>
      <c r="D32" s="19"/>
      <c r="E32" s="19"/>
      <c r="F32" s="19"/>
      <c r="G32" s="19"/>
      <c r="H32" s="16"/>
      <c r="I32" s="16"/>
      <c r="J32" s="16"/>
    </row>
    <row r="33">
      <c r="A33" s="16"/>
      <c r="B33" s="16"/>
      <c r="C33" s="16"/>
      <c r="D33" s="19"/>
      <c r="E33" s="19"/>
      <c r="F33" s="19"/>
      <c r="G33" s="19"/>
      <c r="H33" s="19"/>
      <c r="I33" s="19"/>
      <c r="J33" s="19"/>
    </row>
    <row r="34">
      <c r="A34" s="16"/>
      <c r="B34" s="16"/>
      <c r="C34" s="16"/>
      <c r="D34" s="19"/>
      <c r="E34" s="19"/>
      <c r="F34" s="19"/>
      <c r="G34" s="19"/>
      <c r="H34" s="19"/>
      <c r="I34" s="19"/>
      <c r="J34" s="19"/>
    </row>
    <row r="35">
      <c r="A35" s="16"/>
      <c r="B35" s="43"/>
      <c r="C35" s="43"/>
      <c r="D35" s="57"/>
      <c r="E35" s="57"/>
      <c r="F35" s="57"/>
      <c r="G35" s="57"/>
      <c r="H35" s="19"/>
      <c r="I35" s="19"/>
      <c r="J35" s="19"/>
    </row>
    <row r="36">
      <c r="A36" s="16"/>
      <c r="B36" s="43"/>
      <c r="C36" s="43"/>
      <c r="D36" s="58"/>
      <c r="E36" s="58"/>
      <c r="F36" s="58"/>
      <c r="G36" s="58"/>
      <c r="H36" s="16"/>
      <c r="I36" s="16"/>
      <c r="J36" s="16"/>
    </row>
    <row r="37">
      <c r="A37" s="16"/>
      <c r="B37" s="43"/>
      <c r="C37" s="43"/>
      <c r="D37" s="58"/>
      <c r="E37" s="58"/>
      <c r="F37" s="58"/>
      <c r="G37" s="58"/>
      <c r="H37" s="16"/>
      <c r="I37" s="16"/>
      <c r="J37" s="16"/>
    </row>
    <row r="38">
      <c r="A38" s="16"/>
      <c r="B38" s="43"/>
      <c r="C38" s="43"/>
      <c r="D38" s="58"/>
      <c r="E38" s="58"/>
      <c r="F38" s="58"/>
      <c r="G38" s="58"/>
      <c r="H38" s="16"/>
      <c r="I38" s="16"/>
      <c r="J38" s="16"/>
    </row>
    <row r="39">
      <c r="A39" s="16"/>
      <c r="B39" s="43"/>
      <c r="C39" s="43"/>
      <c r="D39" s="57"/>
      <c r="E39" s="57"/>
      <c r="F39" s="57"/>
      <c r="G39" s="57"/>
      <c r="H39" s="19"/>
      <c r="I39" s="19"/>
      <c r="J39" s="19"/>
    </row>
    <row r="40">
      <c r="A40" s="16"/>
      <c r="B40" s="43"/>
      <c r="C40" s="43"/>
      <c r="D40" s="57"/>
      <c r="E40" s="57"/>
      <c r="F40" s="57"/>
      <c r="G40" s="57"/>
      <c r="H40" s="19"/>
      <c r="I40" s="19"/>
      <c r="J40" s="19"/>
    </row>
    <row r="41">
      <c r="A41" s="16"/>
      <c r="B41" s="16"/>
      <c r="C41" s="16"/>
      <c r="D41" s="19"/>
      <c r="E41" s="19"/>
      <c r="F41" s="19"/>
      <c r="G41" s="19"/>
      <c r="H41" s="16"/>
      <c r="I41" s="16"/>
      <c r="J41" s="16"/>
    </row>
    <row r="42">
      <c r="A42" s="16"/>
      <c r="B42" s="16"/>
      <c r="C42" s="16"/>
      <c r="D42" s="19"/>
      <c r="E42" s="19"/>
      <c r="F42" s="19"/>
      <c r="G42" s="19"/>
      <c r="H42" s="16"/>
      <c r="I42" s="16"/>
      <c r="J42" s="16"/>
    </row>
    <row r="43">
      <c r="A43" s="16"/>
      <c r="B43" s="16"/>
      <c r="C43" s="16"/>
      <c r="D43" s="19"/>
      <c r="E43" s="19"/>
      <c r="F43" s="19"/>
      <c r="G43" s="19"/>
      <c r="H43" s="19"/>
      <c r="I43" s="19"/>
      <c r="J43" s="19"/>
    </row>
    <row r="44">
      <c r="A44" s="16"/>
      <c r="B44" s="16"/>
      <c r="C44" s="16"/>
      <c r="D44" s="19"/>
      <c r="E44" s="19"/>
      <c r="F44" s="19"/>
      <c r="G44" s="19"/>
      <c r="H44" s="16"/>
      <c r="I44" s="16"/>
      <c r="J44" s="16"/>
    </row>
    <row r="45">
      <c r="A45" s="16"/>
      <c r="B45" s="16"/>
      <c r="C45" s="16"/>
      <c r="D45" s="19"/>
      <c r="E45" s="19"/>
      <c r="F45" s="19"/>
      <c r="G45" s="19"/>
      <c r="H45" s="19"/>
      <c r="I45" s="19"/>
      <c r="J45" s="19"/>
    </row>
    <row r="46">
      <c r="A46" s="16"/>
      <c r="B46" s="16"/>
      <c r="C46" s="40"/>
      <c r="D46" s="19"/>
      <c r="E46" s="19"/>
      <c r="F46" s="19"/>
      <c r="G46" s="19"/>
    </row>
    <row r="47">
      <c r="A47" s="16"/>
      <c r="B47" s="16"/>
      <c r="C47" s="16"/>
      <c r="D47" s="19"/>
      <c r="E47" s="19"/>
      <c r="F47" s="19"/>
      <c r="G47" s="19"/>
    </row>
  </sheetData>
  <drawing r:id="rId1"/>
</worksheet>
</file>